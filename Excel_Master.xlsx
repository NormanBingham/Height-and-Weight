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bing\Desktop\Height_and_Weight\"/>
    </mc:Choice>
  </mc:AlternateContent>
  <xr:revisionPtr revIDLastSave="0" documentId="13_ncr:1_{1FCA7D38-ACC4-43EB-BB71-F80003363971}" xr6:coauthVersionLast="47" xr6:coauthVersionMax="47" xr10:uidLastSave="{00000000-0000-0000-0000-000000000000}"/>
  <workbookProtection lockStructure="1"/>
  <bookViews>
    <workbookView xWindow="-120" yWindow="-120" windowWidth="29040" windowHeight="15840" xr2:uid="{1F0BAD89-11FE-469A-B9DA-0D1A4A39132B}"/>
  </bookViews>
  <sheets>
    <sheet name="Admin" sheetId="5" r:id="rId1"/>
    <sheet name="Table B-1 (2)" sheetId="10" r:id="rId2"/>
    <sheet name="Table B-1" sheetId="7" r:id="rId3"/>
    <sheet name="Table B-2" sheetId="2" r:id="rId4"/>
    <sheet name="Figure B-1 Male" sheetId="8" r:id="rId5"/>
    <sheet name="Figure B-2 Female" sheetId="9" r:id="rId6"/>
    <sheet name="Figure B-1 Male (OLD)" sheetId="3" r:id="rId7"/>
    <sheet name="Figure B-2 Female (OLD)" sheetId="4" r:id="rId8"/>
    <sheet name="Sheet2" sheetId="6" r:id="rId9"/>
    <sheet name="Table B-1 (old)" sheetId="1" r:id="rId10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" i="5" l="1"/>
  <c r="P9" i="5" l="1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H7" i="5"/>
  <c r="P7" i="5" s="1"/>
  <c r="H13" i="5"/>
  <c r="Q105" i="5" l="1"/>
  <c r="M8" i="5"/>
  <c r="N8" i="5" s="1"/>
  <c r="O105" i="5"/>
  <c r="M7" i="5"/>
  <c r="M9" i="5"/>
  <c r="M10" i="5"/>
  <c r="M11" i="5"/>
  <c r="N11" i="5" s="1"/>
  <c r="M12" i="5"/>
  <c r="M13" i="5"/>
  <c r="N13" i="5" s="1"/>
  <c r="M14" i="5"/>
  <c r="N14" i="5" s="1"/>
  <c r="M15" i="5"/>
  <c r="O15" i="5" s="1"/>
  <c r="M16" i="5"/>
  <c r="N16" i="5" s="1"/>
  <c r="M17" i="5"/>
  <c r="N17" i="5" s="1"/>
  <c r="M18" i="5"/>
  <c r="O18" i="5" s="1"/>
  <c r="M19" i="5"/>
  <c r="N19" i="5" s="1"/>
  <c r="M20" i="5"/>
  <c r="O20" i="5" s="1"/>
  <c r="M21" i="5"/>
  <c r="N21" i="5" s="1"/>
  <c r="M22" i="5"/>
  <c r="N22" i="5" s="1"/>
  <c r="M23" i="5"/>
  <c r="O23" i="5" s="1"/>
  <c r="M24" i="5"/>
  <c r="O24" i="5" s="1"/>
  <c r="M25" i="5"/>
  <c r="N25" i="5" s="1"/>
  <c r="M26" i="5"/>
  <c r="O26" i="5" s="1"/>
  <c r="M27" i="5"/>
  <c r="N27" i="5" s="1"/>
  <c r="M28" i="5"/>
  <c r="O28" i="5" s="1"/>
  <c r="M29" i="5"/>
  <c r="N29" i="5" s="1"/>
  <c r="M30" i="5"/>
  <c r="N30" i="5" s="1"/>
  <c r="M31" i="5"/>
  <c r="O31" i="5" s="1"/>
  <c r="M32" i="5"/>
  <c r="O32" i="5" s="1"/>
  <c r="M33" i="5"/>
  <c r="O33" i="5" s="1"/>
  <c r="M34" i="5"/>
  <c r="O34" i="5" s="1"/>
  <c r="M35" i="5"/>
  <c r="O35" i="5" s="1"/>
  <c r="M36" i="5"/>
  <c r="O36" i="5" s="1"/>
  <c r="M37" i="5"/>
  <c r="N37" i="5" s="1"/>
  <c r="M38" i="5"/>
  <c r="N38" i="5" s="1"/>
  <c r="M39" i="5"/>
  <c r="O39" i="5" s="1"/>
  <c r="M40" i="5"/>
  <c r="O40" i="5" s="1"/>
  <c r="M41" i="5"/>
  <c r="O41" i="5" s="1"/>
  <c r="M42" i="5"/>
  <c r="O42" i="5" s="1"/>
  <c r="M43" i="5"/>
  <c r="O43" i="5" s="1"/>
  <c r="M44" i="5"/>
  <c r="O44" i="5" s="1"/>
  <c r="M45" i="5"/>
  <c r="N45" i="5" s="1"/>
  <c r="M46" i="5"/>
  <c r="N46" i="5" s="1"/>
  <c r="M47" i="5"/>
  <c r="O47" i="5" s="1"/>
  <c r="M48" i="5"/>
  <c r="O48" i="5" s="1"/>
  <c r="M49" i="5"/>
  <c r="O49" i="5" s="1"/>
  <c r="M50" i="5"/>
  <c r="O50" i="5" s="1"/>
  <c r="M51" i="5"/>
  <c r="O51" i="5" s="1"/>
  <c r="M52" i="5"/>
  <c r="O52" i="5" s="1"/>
  <c r="M53" i="5"/>
  <c r="N53" i="5" s="1"/>
  <c r="M54" i="5"/>
  <c r="N54" i="5" s="1"/>
  <c r="M55" i="5"/>
  <c r="O55" i="5" s="1"/>
  <c r="M56" i="5"/>
  <c r="O56" i="5" s="1"/>
  <c r="M57" i="5"/>
  <c r="N57" i="5" s="1"/>
  <c r="M58" i="5"/>
  <c r="O58" i="5" s="1"/>
  <c r="M59" i="5"/>
  <c r="N59" i="5" s="1"/>
  <c r="M60" i="5"/>
  <c r="O60" i="5" s="1"/>
  <c r="M61" i="5"/>
  <c r="N61" i="5" s="1"/>
  <c r="M62" i="5"/>
  <c r="N62" i="5" s="1"/>
  <c r="M63" i="5"/>
  <c r="O63" i="5" s="1"/>
  <c r="M64" i="5"/>
  <c r="O64" i="5" s="1"/>
  <c r="M65" i="5"/>
  <c r="O65" i="5" s="1"/>
  <c r="M66" i="5"/>
  <c r="O66" i="5" s="1"/>
  <c r="M67" i="5"/>
  <c r="O67" i="5" s="1"/>
  <c r="M68" i="5"/>
  <c r="O68" i="5" s="1"/>
  <c r="M69" i="5"/>
  <c r="N69" i="5" s="1"/>
  <c r="M70" i="5"/>
  <c r="N70" i="5" s="1"/>
  <c r="M71" i="5"/>
  <c r="O71" i="5" s="1"/>
  <c r="M72" i="5"/>
  <c r="O72" i="5" s="1"/>
  <c r="M73" i="5"/>
  <c r="N73" i="5" s="1"/>
  <c r="M74" i="5"/>
  <c r="O74" i="5" s="1"/>
  <c r="M75" i="5"/>
  <c r="O75" i="5" s="1"/>
  <c r="M76" i="5"/>
  <c r="O76" i="5" s="1"/>
  <c r="M77" i="5"/>
  <c r="N77" i="5" s="1"/>
  <c r="M78" i="5"/>
  <c r="N78" i="5" s="1"/>
  <c r="M79" i="5"/>
  <c r="O79" i="5" s="1"/>
  <c r="M80" i="5"/>
  <c r="O80" i="5" s="1"/>
  <c r="M81" i="5"/>
  <c r="O81" i="5" s="1"/>
  <c r="M82" i="5"/>
  <c r="O82" i="5" s="1"/>
  <c r="M83" i="5"/>
  <c r="N83" i="5" s="1"/>
  <c r="M84" i="5"/>
  <c r="O84" i="5" s="1"/>
  <c r="M85" i="5"/>
  <c r="N85" i="5" s="1"/>
  <c r="M86" i="5"/>
  <c r="N86" i="5" s="1"/>
  <c r="M87" i="5"/>
  <c r="O87" i="5" s="1"/>
  <c r="M88" i="5"/>
  <c r="N88" i="5" s="1"/>
  <c r="M89" i="5"/>
  <c r="N89" i="5" s="1"/>
  <c r="M90" i="5"/>
  <c r="O90" i="5" s="1"/>
  <c r="M91" i="5"/>
  <c r="N91" i="5" s="1"/>
  <c r="M92" i="5"/>
  <c r="O92" i="5" s="1"/>
  <c r="M93" i="5"/>
  <c r="N93" i="5" s="1"/>
  <c r="M94" i="5"/>
  <c r="N94" i="5" s="1"/>
  <c r="M95" i="5"/>
  <c r="O95" i="5" s="1"/>
  <c r="M96" i="5"/>
  <c r="O96" i="5" s="1"/>
  <c r="M97" i="5"/>
  <c r="O97" i="5" s="1"/>
  <c r="M98" i="5"/>
  <c r="O98" i="5" s="1"/>
  <c r="M99" i="5"/>
  <c r="N99" i="5" s="1"/>
  <c r="M100" i="5"/>
  <c r="O100" i="5" s="1"/>
  <c r="M101" i="5"/>
  <c r="N101" i="5" s="1"/>
  <c r="M102" i="5"/>
  <c r="N102" i="5" s="1"/>
  <c r="M103" i="5"/>
  <c r="O103" i="5" s="1"/>
  <c r="M104" i="5"/>
  <c r="O104" i="5" s="1"/>
  <c r="M6" i="5"/>
  <c r="N6" i="5" s="1"/>
  <c r="N42" i="5"/>
  <c r="N50" i="5"/>
  <c r="N66" i="5"/>
  <c r="I12" i="5"/>
  <c r="I13" i="5"/>
  <c r="I15" i="5"/>
  <c r="I16" i="5"/>
  <c r="I17" i="5"/>
  <c r="I18" i="5"/>
  <c r="I19" i="5"/>
  <c r="I20" i="5"/>
  <c r="I21" i="5"/>
  <c r="I22" i="5"/>
  <c r="I30" i="5"/>
  <c r="I33" i="5"/>
  <c r="I35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N18" i="5"/>
  <c r="N26" i="5"/>
  <c r="N34" i="5"/>
  <c r="N58" i="5"/>
  <c r="N74" i="5"/>
  <c r="H8" i="5"/>
  <c r="I8" i="5" s="1"/>
  <c r="P8" i="5" s="1"/>
  <c r="H9" i="5"/>
  <c r="I9" i="5" s="1"/>
  <c r="H10" i="5"/>
  <c r="I10" i="5" s="1"/>
  <c r="H11" i="5"/>
  <c r="I11" i="5" s="1"/>
  <c r="H12" i="5"/>
  <c r="H14" i="5"/>
  <c r="I14" i="5" s="1"/>
  <c r="H15" i="5"/>
  <c r="H16" i="5"/>
  <c r="H17" i="5"/>
  <c r="H18" i="5"/>
  <c r="H19" i="5"/>
  <c r="H20" i="5"/>
  <c r="H21" i="5"/>
  <c r="H22" i="5"/>
  <c r="H23" i="5"/>
  <c r="I23" i="5" s="1"/>
  <c r="H24" i="5"/>
  <c r="I24" i="5" s="1"/>
  <c r="H25" i="5"/>
  <c r="I25" i="5" s="1"/>
  <c r="H26" i="5"/>
  <c r="I26" i="5" s="1"/>
  <c r="H27" i="5"/>
  <c r="I27" i="5" s="1"/>
  <c r="H28" i="5"/>
  <c r="I28" i="5" s="1"/>
  <c r="H29" i="5"/>
  <c r="I29" i="5" s="1"/>
  <c r="H30" i="5"/>
  <c r="H31" i="5"/>
  <c r="I31" i="5" s="1"/>
  <c r="H32" i="5"/>
  <c r="I32" i="5" s="1"/>
  <c r="H33" i="5"/>
  <c r="H34" i="5"/>
  <c r="I34" i="5" s="1"/>
  <c r="H35" i="5"/>
  <c r="H36" i="5"/>
  <c r="I36" i="5" s="1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6" i="5"/>
  <c r="I6" i="5" s="1"/>
  <c r="P6" i="5" s="1"/>
  <c r="N103" i="5"/>
  <c r="O10" i="5" l="1"/>
  <c r="N10" i="5"/>
  <c r="O12" i="5"/>
  <c r="N12" i="5"/>
  <c r="Q12" i="5" s="1"/>
  <c r="O9" i="5"/>
  <c r="N9" i="5"/>
  <c r="O7" i="5"/>
  <c r="N7" i="5"/>
  <c r="Q7" i="5" s="1"/>
  <c r="O6" i="5"/>
  <c r="Q6" i="5" s="1"/>
  <c r="N49" i="5"/>
  <c r="Q49" i="5" s="1"/>
  <c r="N32" i="5"/>
  <c r="Q32" i="5" s="1"/>
  <c r="N104" i="5"/>
  <c r="N75" i="5"/>
  <c r="Q75" i="5" s="1"/>
  <c r="N82" i="5"/>
  <c r="N51" i="5"/>
  <c r="Q51" i="5" s="1"/>
  <c r="N90" i="5"/>
  <c r="N52" i="5"/>
  <c r="Q52" i="5" s="1"/>
  <c r="N47" i="5"/>
  <c r="Q47" i="5" s="1"/>
  <c r="N79" i="5"/>
  <c r="Q79" i="5" s="1"/>
  <c r="N39" i="5"/>
  <c r="Q39" i="5" s="1"/>
  <c r="N71" i="5"/>
  <c r="Q71" i="5" s="1"/>
  <c r="N31" i="5"/>
  <c r="Q31" i="5" s="1"/>
  <c r="N63" i="5"/>
  <c r="Q63" i="5" s="1"/>
  <c r="N23" i="5"/>
  <c r="Q23" i="5" s="1"/>
  <c r="Q104" i="5"/>
  <c r="N55" i="5"/>
  <c r="Q55" i="5" s="1"/>
  <c r="Q102" i="5"/>
  <c r="Q94" i="5"/>
  <c r="N95" i="5"/>
  <c r="Q95" i="5" s="1"/>
  <c r="N87" i="5"/>
  <c r="Q87" i="5" s="1"/>
  <c r="Q99" i="5"/>
  <c r="Q91" i="5"/>
  <c r="Q83" i="5"/>
  <c r="Q59" i="5"/>
  <c r="Q27" i="5"/>
  <c r="Q19" i="5"/>
  <c r="Q11" i="5"/>
  <c r="Q66" i="5"/>
  <c r="N68" i="5"/>
  <c r="Q68" i="5" s="1"/>
  <c r="Q50" i="5"/>
  <c r="Q74" i="5"/>
  <c r="N44" i="5"/>
  <c r="Q44" i="5" s="1"/>
  <c r="Q58" i="5"/>
  <c r="N28" i="5"/>
  <c r="Q28" i="5" s="1"/>
  <c r="Q42" i="5"/>
  <c r="Q89" i="5"/>
  <c r="Q34" i="5"/>
  <c r="N100" i="5"/>
  <c r="Q100" i="5" s="1"/>
  <c r="Q88" i="5"/>
  <c r="Q16" i="5"/>
  <c r="Q57" i="5"/>
  <c r="Q25" i="5"/>
  <c r="Q17" i="5"/>
  <c r="N35" i="5"/>
  <c r="Q35" i="5" s="1"/>
  <c r="N67" i="5"/>
  <c r="Q67" i="5" s="1"/>
  <c r="N33" i="5"/>
  <c r="Q33" i="5" s="1"/>
  <c r="Q26" i="5"/>
  <c r="N92" i="5"/>
  <c r="Q92" i="5" s="1"/>
  <c r="N98" i="5"/>
  <c r="Q98" i="5" s="1"/>
  <c r="N36" i="5"/>
  <c r="Q36" i="5" s="1"/>
  <c r="N84" i="5"/>
  <c r="Q84" i="5" s="1"/>
  <c r="Q86" i="5"/>
  <c r="Q70" i="5"/>
  <c r="Q62" i="5"/>
  <c r="Q46" i="5"/>
  <c r="Q38" i="5"/>
  <c r="Q30" i="5"/>
  <c r="Q22" i="5"/>
  <c r="Q14" i="5"/>
  <c r="Q8" i="5"/>
  <c r="N20" i="5"/>
  <c r="Q20" i="5" s="1"/>
  <c r="Q73" i="5"/>
  <c r="Q18" i="5"/>
  <c r="Q90" i="5"/>
  <c r="Q78" i="5"/>
  <c r="Q54" i="5"/>
  <c r="Q103" i="5"/>
  <c r="Q82" i="5"/>
  <c r="N60" i="5"/>
  <c r="Q60" i="5" s="1"/>
  <c r="N76" i="5"/>
  <c r="Q76" i="5" s="1"/>
  <c r="Q101" i="5"/>
  <c r="Q93" i="5"/>
  <c r="Q85" i="5"/>
  <c r="Q77" i="5"/>
  <c r="Q69" i="5"/>
  <c r="Q61" i="5"/>
  <c r="Q53" i="5"/>
  <c r="Q45" i="5"/>
  <c r="Q37" i="5"/>
  <c r="Q29" i="5"/>
  <c r="Q21" i="5"/>
  <c r="Q13" i="5"/>
  <c r="N48" i="5"/>
  <c r="Q48" i="5" s="1"/>
  <c r="O37" i="5"/>
  <c r="N43" i="5"/>
  <c r="Q43" i="5" s="1"/>
  <c r="O69" i="5"/>
  <c r="Q10" i="5"/>
  <c r="N15" i="5"/>
  <c r="Q15" i="5" s="1"/>
  <c r="O102" i="5"/>
  <c r="O101" i="5"/>
  <c r="O61" i="5"/>
  <c r="O29" i="5"/>
  <c r="O94" i="5"/>
  <c r="O93" i="5"/>
  <c r="O53" i="5"/>
  <c r="O21" i="5"/>
  <c r="O85" i="5"/>
  <c r="O77" i="5"/>
  <c r="O45" i="5"/>
  <c r="O13" i="5"/>
  <c r="O86" i="5"/>
  <c r="O78" i="5"/>
  <c r="O70" i="5"/>
  <c r="O62" i="5"/>
  <c r="O54" i="5"/>
  <c r="O46" i="5"/>
  <c r="O38" i="5"/>
  <c r="O30" i="5"/>
  <c r="O22" i="5"/>
  <c r="O14" i="5"/>
  <c r="N65" i="5"/>
  <c r="Q65" i="5" s="1"/>
  <c r="O99" i="5"/>
  <c r="O91" i="5"/>
  <c r="O83" i="5"/>
  <c r="O59" i="5"/>
  <c r="O27" i="5"/>
  <c r="O19" i="5"/>
  <c r="O11" i="5"/>
  <c r="N81" i="5"/>
  <c r="Q81" i="5" s="1"/>
  <c r="N97" i="5"/>
  <c r="Q97" i="5" s="1"/>
  <c r="N41" i="5"/>
  <c r="Q41" i="5" s="1"/>
  <c r="N24" i="5"/>
  <c r="Q24" i="5" s="1"/>
  <c r="Q9" i="5"/>
  <c r="N64" i="5"/>
  <c r="Q64" i="5" s="1"/>
  <c r="N56" i="5"/>
  <c r="Q56" i="5" s="1"/>
  <c r="N40" i="5"/>
  <c r="Q40" i="5" s="1"/>
  <c r="O89" i="5"/>
  <c r="O73" i="5"/>
  <c r="O57" i="5"/>
  <c r="O25" i="5"/>
  <c r="O17" i="5"/>
  <c r="N80" i="5"/>
  <c r="Q80" i="5" s="1"/>
  <c r="N96" i="5"/>
  <c r="Q96" i="5" s="1"/>
  <c r="N72" i="5"/>
  <c r="Q72" i="5" s="1"/>
  <c r="O88" i="5"/>
  <c r="O16" i="5"/>
  <c r="O8" i="5"/>
</calcChain>
</file>

<file path=xl/sharedStrings.xml><?xml version="1.0" encoding="utf-8"?>
<sst xmlns="http://schemas.openxmlformats.org/spreadsheetml/2006/main" count="971" uniqueCount="46">
  <si>
    <t>Table B-1</t>
  </si>
  <si>
    <t>Weight for height table (screening table weight)</t>
  </si>
  <si>
    <t>Male weight in pounds, by age</t>
  </si>
  <si>
    <t>Female weight in poinds, by age</t>
  </si>
  <si>
    <t>Height (inches)</t>
  </si>
  <si>
    <t>Minimum weight (pounds)</t>
  </si>
  <si>
    <t>17-20</t>
  </si>
  <si>
    <t>21-27</t>
  </si>
  <si>
    <t>28-39</t>
  </si>
  <si>
    <t>40+</t>
  </si>
  <si>
    <t>-</t>
  </si>
  <si>
    <t>Age Group</t>
  </si>
  <si>
    <t>17 - 20</t>
  </si>
  <si>
    <t>Male (% Body Fat)</t>
  </si>
  <si>
    <t>Female (% Body Fat)</t>
  </si>
  <si>
    <t>21 - 27</t>
  </si>
  <si>
    <t>28 - 39</t>
  </si>
  <si>
    <t>40 and older</t>
  </si>
  <si>
    <t xml:space="preserve">Table B – 2 </t>
  </si>
  <si>
    <t>Circumference Value</t>
  </si>
  <si>
    <t>RANK</t>
  </si>
  <si>
    <t>AGE</t>
  </si>
  <si>
    <t>540?</t>
  </si>
  <si>
    <t>FIRST</t>
  </si>
  <si>
    <t>SECOND</t>
  </si>
  <si>
    <t>THIRD</t>
  </si>
  <si>
    <t>M/F</t>
  </si>
  <si>
    <t>MAX Weight</t>
  </si>
  <si>
    <t>&lt;10</t>
  </si>
  <si>
    <t>WAIST CIRCUMFERENCE (inches)</t>
  </si>
  <si>
    <t>2023 ARMY CALCULATED PERCENT (%) BODY FAT - MALE</t>
  </si>
  <si>
    <t>2023 ARMY CALCULATED PERCENT (%) BODY FAT - FEMALE</t>
  </si>
  <si>
    <t>BODY WEIGHT (pounds)                                                                                                                                     BODY WEIGHT (pounds)                                                                                                                                     BODY WEIGHT (pounds)                                                                                                                                     BODY WEIGHT (pounds)                                                                                                                                     BODY WEIGHT (pounds)                                                                                                                                     BODY WEIGHT (pounds)</t>
  </si>
  <si>
    <t xml:space="preserve">Maximum allowable percent body fat standards </t>
  </si>
  <si>
    <t xml:space="preserve">MAX BODY FAT % </t>
  </si>
  <si>
    <t>Pass/Fail</t>
  </si>
  <si>
    <t>EQUATION</t>
  </si>
  <si>
    <t>HEIGHT 
(to nearest 0.50 inch)</t>
  </si>
  <si>
    <t>WEIGHT 
(to nearest pound)</t>
  </si>
  <si>
    <t>BODY FAT %
(Figure B-1/B-2)</t>
  </si>
  <si>
    <t>Pass/Needs Tape</t>
  </si>
  <si>
    <t>PREPARED BY</t>
  </si>
  <si>
    <t>APPROVED BY SUPERVISOR</t>
  </si>
  <si>
    <t>AVERAGE (to nearest 0.50 in.)</t>
  </si>
  <si>
    <t>NAME (Last, First, Middle Initial)</t>
  </si>
  <si>
    <t>Initials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</si>
</sst>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9" fontId="1" fillId="0" borderId="0" xfId="0" applyNumberFormat="1" applyFont="1" applyAlignment="1">
      <alignment horizontal="center" vertical="center" wrapText="1"/>
    </xf>
    <xf numFmtId="9" fontId="1" fillId="0" borderId="0" xfId="0" applyNumberFormat="1" applyFont="1" applyAlignment="1">
      <alignment horizontal="center" wrapText="1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1" xfId="0" applyFont="1" applyBorder="1" applyAlignment="1" applyProtection="1">
      <alignment wrapText="1"/>
      <protection locked="0"/>
    </xf>
    <xf numFmtId="0" fontId="1" fillId="0" borderId="1" xfId="0" applyFont="1" applyBorder="1" applyAlignment="1" applyProtection="1">
      <alignment horizontal="center" wrapText="1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10" fontId="0" fillId="0" borderId="0" xfId="0" applyNumberFormat="1" applyProtection="1">
      <protection locked="0"/>
    </xf>
    <xf numFmtId="0" fontId="0" fillId="0" borderId="0" xfId="0" applyAlignment="1" applyProtection="1">
      <alignment wrapText="1"/>
      <protection locked="0"/>
    </xf>
    <xf numFmtId="0" fontId="0" fillId="0" borderId="1" xfId="0" applyBorder="1" applyAlignment="1" applyProtection="1">
      <alignment horizontal="center"/>
    </xf>
    <xf numFmtId="9" fontId="1" fillId="0" borderId="1" xfId="0" applyNumberFormat="1" applyFont="1" applyBorder="1" applyAlignment="1" applyProtection="1">
      <alignment horizontal="center" wrapText="1"/>
    </xf>
    <xf numFmtId="0" fontId="0" fillId="0" borderId="1" xfId="0" applyBorder="1" applyProtection="1"/>
    <xf numFmtId="0" fontId="0" fillId="0" borderId="0" xfId="0" applyProtection="1"/>
    <xf numFmtId="10" fontId="1" fillId="0" borderId="1" xfId="0" applyNumberFormat="1" applyFont="1" applyBorder="1" applyAlignment="1" applyProtection="1">
      <alignment horizontal="center" wrapText="1"/>
    </xf>
    <xf numFmtId="10" fontId="1" fillId="0" borderId="0" xfId="0" applyNumberFormat="1" applyFont="1" applyAlignment="1" applyProtection="1">
      <alignment horizontal="center" wrapText="1"/>
    </xf>
  </cellXfs>
  <cellStyles count="1">
    <cellStyle name="Normal" xfId="0" builtinId="0"/>
  </cellStyles>
  <dxfs count="7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gray125">
          <bgColor theme="8" tint="0.7999816888943144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 patternType="gray0625"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2B2A0-1EEA-46E1-B8BF-CCC3E9E922F9}">
  <sheetPr codeName="Sheet1"/>
  <dimension ref="A1:U105"/>
  <sheetViews>
    <sheetView tabSelected="1" zoomScale="130" zoomScaleNormal="130" workbookViewId="0">
      <selection activeCell="A9" sqref="A9"/>
    </sheetView>
  </sheetViews>
  <sheetFormatPr defaultRowHeight="15" x14ac:dyDescent="0.25"/>
  <cols>
    <col min="1" max="1" width="29.85546875" style="14" bestFit="1" customWidth="1"/>
    <col min="2" max="2" width="6.42578125" style="14" customWidth="1"/>
    <col min="3" max="3" width="7" style="15" bestFit="1" customWidth="1"/>
    <col min="4" max="4" width="5" style="15" customWidth="1"/>
    <col min="5" max="5" width="10.7109375" style="14" customWidth="1"/>
    <col min="6" max="6" width="10.7109375" style="14" bestFit="1" customWidth="1"/>
    <col min="7" max="7" width="5" style="14" bestFit="1" customWidth="1"/>
    <col min="8" max="8" width="12.28515625" style="14" bestFit="1" customWidth="1"/>
    <col min="9" max="9" width="15.85546875" style="14" customWidth="1"/>
    <col min="10" max="10" width="5.7109375" style="14" bestFit="1" customWidth="1"/>
    <col min="11" max="11" width="8.28515625" style="14" bestFit="1" customWidth="1"/>
    <col min="12" max="12" width="6.28515625" style="14" bestFit="1" customWidth="1"/>
    <col min="13" max="13" width="38.42578125" style="15" bestFit="1" customWidth="1"/>
    <col min="14" max="14" width="15.42578125" style="15" customWidth="1"/>
    <col min="15" max="15" width="10.5703125" style="27" bestFit="1" customWidth="1"/>
    <col min="16" max="16" width="17" style="14" bestFit="1" customWidth="1"/>
    <col min="17" max="17" width="9.140625" style="14"/>
    <col min="18" max="18" width="27.42578125" style="14" customWidth="1"/>
    <col min="19" max="19" width="6.5703125" style="14" customWidth="1"/>
    <col min="20" max="20" width="27.42578125" style="14" customWidth="1"/>
    <col min="21" max="21" width="6.5703125" style="14" customWidth="1"/>
    <col min="22" max="16384" width="9.140625" style="14"/>
  </cols>
  <sheetData>
    <row r="1" spans="1:21" x14ac:dyDescent="0.25">
      <c r="A1" s="12" t="s">
        <v>41</v>
      </c>
      <c r="B1" s="12" t="s">
        <v>20</v>
      </c>
      <c r="C1" s="12" t="s">
        <v>45</v>
      </c>
    </row>
    <row r="2" spans="1:21" x14ac:dyDescent="0.25">
      <c r="A2" s="16"/>
      <c r="B2" s="16"/>
      <c r="C2" s="16"/>
    </row>
    <row r="3" spans="1:21" x14ac:dyDescent="0.25">
      <c r="A3" s="12" t="s">
        <v>42</v>
      </c>
      <c r="B3" s="12" t="s">
        <v>20</v>
      </c>
      <c r="C3" s="12"/>
    </row>
    <row r="4" spans="1:21" x14ac:dyDescent="0.25">
      <c r="A4" s="16"/>
      <c r="B4" s="16"/>
      <c r="C4" s="16"/>
    </row>
    <row r="5" spans="1:21" s="28" customFormat="1" ht="60" x14ac:dyDescent="0.25">
      <c r="A5" s="12" t="s">
        <v>44</v>
      </c>
      <c r="B5" s="12" t="s">
        <v>20</v>
      </c>
      <c r="C5" s="13" t="s">
        <v>26</v>
      </c>
      <c r="D5" s="13" t="s">
        <v>21</v>
      </c>
      <c r="E5" s="12" t="s">
        <v>37</v>
      </c>
      <c r="F5" s="12" t="s">
        <v>38</v>
      </c>
      <c r="G5" s="12" t="s">
        <v>22</v>
      </c>
      <c r="H5" s="12" t="s">
        <v>27</v>
      </c>
      <c r="I5" s="12" t="s">
        <v>40</v>
      </c>
      <c r="J5" s="12" t="s">
        <v>23</v>
      </c>
      <c r="K5" s="12" t="s">
        <v>24</v>
      </c>
      <c r="L5" s="12" t="s">
        <v>25</v>
      </c>
      <c r="M5" s="13" t="s">
        <v>43</v>
      </c>
      <c r="N5" s="13" t="s">
        <v>39</v>
      </c>
      <c r="O5" s="12" t="s">
        <v>36</v>
      </c>
      <c r="P5" s="12" t="s">
        <v>34</v>
      </c>
      <c r="Q5" s="12" t="s">
        <v>35</v>
      </c>
      <c r="R5" s="12" t="s">
        <v>41</v>
      </c>
      <c r="S5" s="12" t="s">
        <v>20</v>
      </c>
      <c r="T5" s="12" t="s">
        <v>42</v>
      </c>
      <c r="U5" s="12" t="s">
        <v>20</v>
      </c>
    </row>
    <row r="6" spans="1:21" x14ac:dyDescent="0.25">
      <c r="A6" s="18"/>
      <c r="B6" s="16"/>
      <c r="C6" s="17"/>
      <c r="D6" s="17"/>
      <c r="E6" s="16"/>
      <c r="F6" s="16"/>
      <c r="G6" s="16"/>
      <c r="H6" s="31" t="str">
        <f>IF(OR(Admin!E6="", Admin!D6=""),
    "",
    IF(Admin!C6="M",
        INDEX('Table B-1'!$C$9:$AX$31, MATCH(Admin!E6, 'Table B-1'!$A$9:$A$31, 0), MATCH(MIN(40,Admin!D6), 'Table B-1'!$C$4:$Z$4, 1)),
        IF(Admin!C6="F",
            INDEX('Table B-1'!$AA$9:$AX$31, MATCH(Admin!E6, 'Table B-1'!$A$9:$A$31, 0), MATCH(MIN(40,Admin!D6), 'Table B-1'!$AA$4:$AX$4, 1)),
            ""
        )
    )
)</f>
        <v/>
      </c>
      <c r="I6" s="31" t="str">
        <f>IF(F6="", "", IF(F6&gt;H6, "Needs Tape", IF(F6&lt;=H6, "Pass", "")))</f>
        <v/>
      </c>
      <c r="J6" s="16"/>
      <c r="K6" s="16"/>
      <c r="L6" s="16"/>
      <c r="M6" s="29" t="str">
        <f>IF(OR(ABS(J6-K6)&gt;1, ABS(K6-L6)&gt;1, ABS(J6-L6)&gt;1), "Measurements differ by more than 1 inch",
    IF(OR(J6="", K6="", L6=""), "", ROUND(AVERAGE(J6, K6, L6)*2, 0)/2)
)</f>
        <v/>
      </c>
      <c r="N6" s="30" t="str">
        <f>IF(OR(Admin!F6="", Admin!M6=""),
    "",
    IF(Admin!C6="M",
        IFERROR(INDEX('Figure B-1 Male'!$C$4:$AJ$164, MATCH(Admin!F6, 'Figure B-1 Male'!$B$4:$B$164, 0), MATCH(Admin!M6, 'Figure B-1 Male'!$C$3:$AJ$3, 1)) / 100, ""),
        IF(Admin!C6="F",
            IFERROR(INDEX('Figure B-2 Female'!$C$4:$AJ$164, MATCH(Admin!F6, 'Figure B-2 Female'!$B$4:$B$164, 0), MATCH(Admin!M6, 'Figure B-2 Female'!$C$3:$AJ$3, 1)) / 100, ""),
            ""
        )
    )
)</f>
        <v/>
      </c>
      <c r="O6" s="33" t="str">
        <f>IF(OR(F6="", M6=""),
    "",
    IF(Admin!C6="M",
        (-26.97 - (0.12 * F6) + (1.99 * M6)) / 100,
        IF(Admin!C6="F",
            (-9.15 - (0.015 * F6) + (1.27 * M6)) / 100,
            ""
        )
    )
)</f>
        <v/>
      </c>
      <c r="P6" s="30" t="str">
        <f>IF(OR(Admin!I6="Pass", Admin!I6=""),
    "",
    IF(Admin!D6="",
        "",
        IF(Admin!C6="M",
            INDEX('Table B-2'!$D$7:$D$30, MATCH(MIN(40, Admin!D6), 'Table B-2'!$C$7:$C$30, 0)),
            IF(Admin!C6="F",
                INDEX('Table B-2'!$F$7:$F$30, MATCH(MIN(40, Admin!D6), 'Table B-2'!$E$7:$E$30, 0)),
                ""
            )
        )
    )
)</f>
        <v/>
      </c>
      <c r="Q6" s="31" t="str">
        <f>IF(OR(O6="", P6=""),
    "",
    IF(O6&gt;P6, "Fail Tape", IF(O6&lt;=P6, "Pass", ""))
)</f>
        <v/>
      </c>
      <c r="R6" s="16"/>
      <c r="S6" s="16"/>
      <c r="T6" s="16"/>
      <c r="U6" s="16"/>
    </row>
    <row r="7" spans="1:21" x14ac:dyDescent="0.25">
      <c r="A7" s="18"/>
      <c r="B7" s="16"/>
      <c r="C7" s="17"/>
      <c r="D7" s="17"/>
      <c r="E7" s="16"/>
      <c r="F7" s="16"/>
      <c r="G7" s="16"/>
      <c r="H7" s="31" t="str">
        <f>IF(OR(Admin!E7="", Admin!D7=""),
    "",
    IF(Admin!C7="M",
        INDEX('Table B-1'!$C$9:$AX$31, MATCH(Admin!E7, 'Table B-1'!$A$9:$A$31, 0), MATCH(MIN(40,Admin!D7), 'Table B-1'!$C$4:$Z$4, 1)),
        IF(Admin!C7="F",
            INDEX('Table B-1'!$AA$9:$AX$31, MATCH(Admin!E7, 'Table B-1'!$A$9:$A$31, 0), MATCH(MIN(40,Admin!D7), 'Table B-1'!$AA$4:$AX$4, 1)),
            ""
        )
    )
)</f>
        <v/>
      </c>
      <c r="I7" s="31" t="str">
        <f>IF(F7="", "", IF(F7&gt;H7, "Needs Tape", IF(F7&lt;=H7, "Pass", "")))</f>
        <v/>
      </c>
      <c r="J7" s="16"/>
      <c r="K7" s="16"/>
      <c r="L7" s="16"/>
      <c r="M7" s="29" t="str">
        <f t="shared" ref="M7:M70" si="0">IF(OR(ABS(J7-K7)&gt;1, ABS(K7-L7)&gt;1, ABS(J7-L7)&gt;1), "Measurements differ by more than 1 inch",
    IF(OR(J7="", K7="", L7=""), "", ROUND(AVERAGE(J7, K7, L7)*2, 0)/2)
)</f>
        <v/>
      </c>
      <c r="N7" s="30" t="str">
        <f>IF(OR(Admin!F7="", Admin!M7=""),
    "",
    IF(Admin!C7="M",
        IFERROR(INDEX('Figure B-1 Male'!$C$4:$AJ$164, MATCH(Admin!F7, 'Figure B-1 Male'!$B$4:$B$164, 0), MATCH(Admin!M7, 'Figure B-1 Male'!$C$3:$AJ$3, 1)) / 100, ""),
        IF(Admin!C7="F",
            IFERROR(INDEX('Figure B-2 Female'!$C$4:$AJ$164, MATCH(Admin!F7, 'Figure B-2 Female'!$B$4:$B$164, 0), MATCH(Admin!M7, 'Figure B-2 Female'!$C$3:$AJ$3, 1)) / 100, ""),
            ""
        )
    )
)</f>
        <v/>
      </c>
      <c r="O7" s="33" t="str">
        <f>IF(OR(F7="", M7=""),
    "",
    IF(Admin!C7="M",
        (-26.97 - (0.12 * F7) + (1.99 * M7)) / 100,
        IF(Admin!C7="F",
            (-9.15 - (0.015 * F7) + (1.27 * M7)) / 100,
            ""
        )
    )
)</f>
        <v/>
      </c>
      <c r="P7" s="30" t="str">
        <f>IF(OR(Admin!I7="Pass", Admin!I7=""),
    "",
    IF(Admin!D7="",
        "",
        IF(Admin!C7="M",
            INDEX('Table B-2'!$D$7:$D$30, MATCH(MIN(40, Admin!D7), 'Table B-2'!$C$7:$C$30, 0)),
            IF(Admin!C7="F",
                INDEX('Table B-2'!$F$7:$F$30, MATCH(MIN(40, Admin!D7), 'Table B-2'!$E$7:$E$30, 0)),
                ""
            )
        )
    )
)</f>
        <v/>
      </c>
      <c r="Q7" s="31" t="str">
        <f t="shared" ref="Q7:Q70" si="1">IF(OR(N7="", P7=""),
    "",
    IF(N7&gt;P7, "Fail Tape", IF(N7&lt;=P7, "Pass", ""))
)</f>
        <v/>
      </c>
      <c r="R7" s="16"/>
      <c r="S7" s="16"/>
      <c r="T7" s="16"/>
      <c r="U7" s="16"/>
    </row>
    <row r="8" spans="1:21" x14ac:dyDescent="0.25">
      <c r="A8" s="16"/>
      <c r="B8" s="16"/>
      <c r="C8" s="17"/>
      <c r="D8" s="17"/>
      <c r="E8" s="16"/>
      <c r="F8" s="16"/>
      <c r="G8" s="16"/>
      <c r="H8" s="31" t="str">
        <f>IF(OR(Admin!E8="", Admin!D8=""),
    "",
    IF(Admin!C8="M",
        INDEX('Table B-1'!$C$9:$AX$31, MATCH(Admin!E8, 'Table B-1'!$A$9:$A$31, 0), MATCH(MIN(40,Admin!D8), 'Table B-1'!$C$4:$Z$4, 1)),
        IF(Admin!C8="F",
            INDEX('Table B-1'!$AA$9:$AX$31, MATCH(Admin!E8, 'Table B-1'!$A$9:$A$31, 0), MATCH(MIN(40,Admin!D8), 'Table B-1'!$AA$4:$AX$4, 1)),
            ""
        )
    )
)</f>
        <v/>
      </c>
      <c r="I8" s="31" t="str">
        <f t="shared" ref="I8:I70" si="2">IF(F8="", "", IF(F8&gt;H8, "Needs Tape", IF(F8&lt;=H8, "Pass", "")))</f>
        <v/>
      </c>
      <c r="J8" s="16"/>
      <c r="K8" s="16"/>
      <c r="L8" s="16"/>
      <c r="M8" s="29" t="str">
        <f t="shared" si="0"/>
        <v/>
      </c>
      <c r="N8" s="30" t="str">
        <f>IF(OR(Admin!F8="", Admin!M8=""),
    "",
    IF(Admin!C8="M",
        IFERROR(INDEX('Figure B-1 Male'!$C$4:$AJ$164, MATCH(Admin!F8, 'Figure B-1 Male'!$B$4:$B$164, 0), MATCH(Admin!M8, 'Figure B-1 Male'!$C$3:$AJ$3, 1)) / 100, ""),
        IF(Admin!C8="F",
            IFERROR(INDEX('Figure B-2 Female'!$C$4:$AJ$164, MATCH(Admin!F8, 'Figure B-2 Female'!$B$4:$B$164, 0), MATCH(Admin!M8, 'Figure B-2 Female'!$C$3:$AJ$3, 1)) / 100, ""),
            ""
        )
    )
)</f>
        <v/>
      </c>
      <c r="O8" s="33" t="str">
        <f>IF(OR(F8="", M8=""),
    "",
    IF(Admin!C8="M",
        (-26.97 - (0.12 * F8) + (1.99 * M8)) / 100,
        IF(Admin!C8="F",
            (-9.15 - (0.015 * F8) + (1.27 * M8)) / 100,
            ""
        )
    )
)</f>
        <v/>
      </c>
      <c r="P8" s="30" t="str">
        <f>IF(OR(Admin!I8="Pass", Admin!I8=""),
    "",
    IF(Admin!D8="",
        "",
        IF(Admin!C8="M",
            INDEX('Table B-2'!$D$7:$D$30, MATCH(MIN(40, Admin!D8), 'Table B-2'!$C$7:$C$30, 0)),
            IF(Admin!C8="F",
                INDEX('Table B-2'!$F$7:$F$30, MATCH(MIN(40, Admin!D8), 'Table B-2'!$E$7:$E$30, 0)),
                ""
            )
        )
    )
)</f>
        <v/>
      </c>
      <c r="Q8" s="31" t="str">
        <f t="shared" si="1"/>
        <v/>
      </c>
      <c r="R8" s="16"/>
      <c r="S8" s="16"/>
      <c r="T8" s="16"/>
      <c r="U8" s="16"/>
    </row>
    <row r="9" spans="1:21" x14ac:dyDescent="0.25">
      <c r="A9" s="16"/>
      <c r="B9" s="16"/>
      <c r="C9" s="17"/>
      <c r="D9" s="17"/>
      <c r="E9" s="16"/>
      <c r="F9" s="16"/>
      <c r="G9" s="16"/>
      <c r="H9" s="31" t="str">
        <f>IF(OR(Admin!E9="", Admin!D9=""),
    "",
    IF(Admin!C9="M",
        INDEX('Table B-1'!$C$9:$AX$31, MATCH(Admin!E9, 'Table B-1'!$A$9:$A$31, 0), MATCH(MIN(40,Admin!D9), 'Table B-1'!$C$4:$Z$4, 1)),
        IF(Admin!C9="F",
            INDEX('Table B-1'!$AA$9:$AX$31, MATCH(Admin!E9, 'Table B-1'!$A$9:$A$31, 0), MATCH(MIN(40,Admin!D9), 'Table B-1'!$AA$4:$AX$4, 1)),
            ""
        )
    )
)</f>
        <v/>
      </c>
      <c r="I9" s="31" t="str">
        <f t="shared" si="2"/>
        <v/>
      </c>
      <c r="J9" s="16"/>
      <c r="K9" s="16"/>
      <c r="L9" s="16"/>
      <c r="M9" s="29" t="str">
        <f t="shared" si="0"/>
        <v/>
      </c>
      <c r="N9" s="30" t="str">
        <f>IF(OR(Admin!F9="", Admin!M9=""),
    "",
    IF(Admin!C9="M",
        IFERROR(INDEX('Figure B-1 Male'!$C$4:$AJ$164, MATCH(Admin!F9, 'Figure B-1 Male'!$B$4:$B$164, 0), MATCH(Admin!M9, 'Figure B-1 Male'!$C$3:$AJ$3, 1)) / 100, ""),
        IF(Admin!C9="F",
            IFERROR(INDEX('Figure B-2 Female'!$C$4:$AJ$164, MATCH(Admin!F9, 'Figure B-2 Female'!$B$4:$B$164, 0), MATCH(Admin!M9, 'Figure B-2 Female'!$C$3:$AJ$3, 1)) / 100, ""),
            ""
        )
    )
)</f>
        <v/>
      </c>
      <c r="O9" s="33" t="str">
        <f>IF(OR(F9="", M9=""),
    "",
    IF(Admin!C9="M",
        (-26.97 - (0.12 * F9) + (1.99 * M9)) / 100,
        IF(Admin!C9="F",
            (-9.15 - (0.015 * F9) + (1.27 * M9)) / 100,
            ""
        )
    )
)</f>
        <v/>
      </c>
      <c r="P9" s="30" t="str">
        <f>IF(OR(Admin!I9="Pass", Admin!I9=""),
    "",
    IF(Admin!D9="",
        "",
        IF(Admin!C9="M",
            INDEX('Table B-2'!$D$7:$D$30, MATCH(MIN(40, Admin!D9), 'Table B-2'!$C$7:$C$30, 0)),
            IF(Admin!C9="F",
                INDEX('Table B-2'!$F$7:$F$30, MATCH(MIN(40, Admin!D9), 'Table B-2'!$E$7:$E$30, 0)),
                ""
            )
        )
    )
)</f>
        <v/>
      </c>
      <c r="Q9" s="31" t="str">
        <f t="shared" si="1"/>
        <v/>
      </c>
      <c r="R9" s="16"/>
      <c r="S9" s="16"/>
      <c r="T9" s="16"/>
      <c r="U9" s="16"/>
    </row>
    <row r="10" spans="1:21" x14ac:dyDescent="0.25">
      <c r="A10" s="19"/>
      <c r="B10" s="16"/>
      <c r="C10" s="17"/>
      <c r="D10" s="17"/>
      <c r="E10" s="16"/>
      <c r="F10" s="16"/>
      <c r="G10" s="16"/>
      <c r="H10" s="31" t="str">
        <f>IF(OR(Admin!E10="", Admin!D10=""),
    "",
    IF(Admin!C10="M",
        INDEX('Table B-1'!$C$9:$AX$31, MATCH(Admin!E10, 'Table B-1'!$A$9:$A$31, 0), MATCH(MIN(40,Admin!D10), 'Table B-1'!$C$4:$Z$4, 1)),
        IF(Admin!C10="F",
            INDEX('Table B-1'!$AA$9:$AX$31, MATCH(Admin!E10, 'Table B-1'!$A$9:$A$31, 0), MATCH(MIN(40,Admin!D10), 'Table B-1'!$AA$4:$AX$4, 1)),
            ""
        )
    )
)</f>
        <v/>
      </c>
      <c r="I10" s="31" t="str">
        <f t="shared" si="2"/>
        <v/>
      </c>
      <c r="J10" s="16"/>
      <c r="K10" s="16"/>
      <c r="L10" s="16"/>
      <c r="M10" s="29" t="str">
        <f t="shared" si="0"/>
        <v/>
      </c>
      <c r="N10" s="30" t="str">
        <f>IF(OR(Admin!F10="", Admin!M10=""),
    "",
    IF(Admin!C10="M",
        IFERROR(INDEX('Figure B-1 Male'!$C$4:$AJ$164, MATCH(Admin!F10, 'Figure B-1 Male'!$B$4:$B$164, 0), MATCH(Admin!M10, 'Figure B-1 Male'!$C$3:$AJ$3, 1)) / 100, ""),
        IF(Admin!C10="F",
            IFERROR(INDEX('Figure B-2 Female'!$C$4:$AJ$164, MATCH(Admin!F10, 'Figure B-2 Female'!$B$4:$B$164, 0), MATCH(Admin!M10, 'Figure B-2 Female'!$C$3:$AJ$3, 1)) / 100, ""),
            ""
        )
    )
)</f>
        <v/>
      </c>
      <c r="O10" s="33" t="str">
        <f>IF(OR(F10="", M10=""),
    "",
    IF(Admin!C10="M",
        (-26.97 - (0.12 * F10) + (1.99 * M10)) / 100,
        IF(Admin!C10="F",
            (-9.15 - (0.015 * F10) + (1.27 * M10)) / 100,
            ""
        )
    )
)</f>
        <v/>
      </c>
      <c r="P10" s="30" t="str">
        <f>IF(OR(Admin!I10="Pass", Admin!I10=""),
    "",
    IF(Admin!D10="",
        "",
        IF(Admin!C10="M",
            INDEX('Table B-2'!$D$7:$D$30, MATCH(MIN(40, Admin!D10), 'Table B-2'!$C$7:$C$30, 0)),
            IF(Admin!C10="F",
                INDEX('Table B-2'!$F$7:$F$30, MATCH(MIN(40, Admin!D10), 'Table B-2'!$E$7:$E$30, 0)),
                ""
            )
        )
    )
)</f>
        <v/>
      </c>
      <c r="Q10" s="31" t="str">
        <f t="shared" si="1"/>
        <v/>
      </c>
      <c r="R10" s="16"/>
      <c r="S10" s="16"/>
      <c r="T10" s="16"/>
      <c r="U10" s="16"/>
    </row>
    <row r="11" spans="1:21" x14ac:dyDescent="0.25">
      <c r="A11" s="16"/>
      <c r="B11" s="16"/>
      <c r="C11" s="17"/>
      <c r="D11" s="17"/>
      <c r="E11" s="16"/>
      <c r="F11" s="16"/>
      <c r="G11" s="16"/>
      <c r="H11" s="31" t="str">
        <f>IF(OR(Admin!E11="", Admin!D11=""),
    "",
    IF(Admin!C11="M",
        INDEX('Table B-1'!$C$9:$AX$31, MATCH(Admin!E11, 'Table B-1'!$A$9:$A$31, 0), MATCH(MIN(40,Admin!D11), 'Table B-1'!$C$4:$Z$4, 1)),
        IF(Admin!C11="F",
            INDEX('Table B-1'!$AA$9:$AX$31, MATCH(Admin!E11, 'Table B-1'!$A$9:$A$31, 0), MATCH(MIN(40,Admin!D11), 'Table B-1'!$AA$4:$AX$4, 1)),
            ""
        )
    )
)</f>
        <v/>
      </c>
      <c r="I11" s="31" t="str">
        <f t="shared" si="2"/>
        <v/>
      </c>
      <c r="J11" s="16"/>
      <c r="K11" s="16"/>
      <c r="L11" s="16"/>
      <c r="M11" s="29" t="str">
        <f t="shared" si="0"/>
        <v/>
      </c>
      <c r="N11" s="30" t="str">
        <f>IF(OR(Admin!F11="", Admin!M11=""),
    "",
    IF(Admin!C11="M",
        IFERROR(INDEX('Figure B-1 Male'!$C$4:$AJ$164, MATCH(Admin!F11, 'Figure B-1 Male'!$B$4:$B$164, 0), MATCH(Admin!M11, 'Figure B-1 Male'!$C$3:$AJ$3, 1)) / 100, ""),
        IF(Admin!C11="F",
            IFERROR(INDEX('Figure B-2 Female'!$C$4:$AJ$164, MATCH(Admin!F11, 'Figure B-2 Female'!$B$4:$B$164, 0), MATCH(Admin!M11, 'Figure B-2 Female'!$C$3:$AJ$3, 1)) / 100, ""),
            ""
        )
    )
)</f>
        <v/>
      </c>
      <c r="O11" s="33" t="str">
        <f>IF(OR(F11="", M11=""),
    "",
    IF(Admin!C11="M",
        (-26.97 - (0.12 * F11) + (1.99 * M11)) / 100,
        IF(Admin!C11="F",
            (-9.15 - (0.015 * F11) + (1.27 * M11)) / 100,
            ""
        )
    )
)</f>
        <v/>
      </c>
      <c r="P11" s="30" t="str">
        <f>IF(OR(Admin!I11="Pass", Admin!I11=""),
    "",
    IF(Admin!D11="",
        "",
        IF(Admin!C11="M",
            INDEX('Table B-2'!$D$7:$D$30, MATCH(MIN(40, Admin!D11), 'Table B-2'!$C$7:$C$30, 0)),
            IF(Admin!C11="F",
                INDEX('Table B-2'!$F$7:$F$30, MATCH(MIN(40, Admin!D11), 'Table B-2'!$E$7:$E$30, 0)),
                ""
            )
        )
    )
)</f>
        <v/>
      </c>
      <c r="Q11" s="31" t="str">
        <f t="shared" si="1"/>
        <v/>
      </c>
      <c r="R11" s="16"/>
      <c r="S11" s="16"/>
      <c r="T11" s="16"/>
      <c r="U11" s="16"/>
    </row>
    <row r="12" spans="1:21" x14ac:dyDescent="0.25">
      <c r="A12" s="16"/>
      <c r="B12" s="16"/>
      <c r="C12" s="17"/>
      <c r="D12" s="17"/>
      <c r="E12" s="16"/>
      <c r="F12" s="16"/>
      <c r="G12" s="16"/>
      <c r="H12" s="31" t="str">
        <f>IF(OR(Admin!E12="", Admin!D12=""),
    "",
    IF(Admin!C12="M",
        INDEX('Table B-1'!$C$9:$AX$31, MATCH(Admin!E12, 'Table B-1'!$A$9:$A$31, 0), MATCH(MIN(40,Admin!D12), 'Table B-1'!$C$4:$Z$4, 1)),
        IF(Admin!C12="F",
            INDEX('Table B-1'!$AA$9:$AX$31, MATCH(Admin!E12, 'Table B-1'!$A$9:$A$31, 0), MATCH(MIN(40,Admin!D12), 'Table B-1'!$AA$4:$AX$4, 1)),
            ""
        )
    )
)</f>
        <v/>
      </c>
      <c r="I12" s="31" t="str">
        <f t="shared" si="2"/>
        <v/>
      </c>
      <c r="J12" s="16"/>
      <c r="K12" s="16"/>
      <c r="L12" s="16"/>
      <c r="M12" s="29" t="str">
        <f t="shared" si="0"/>
        <v/>
      </c>
      <c r="N12" s="30" t="str">
        <f>IF(OR(Admin!F12="", Admin!M12=""),
    "",
    IF(Admin!C12="M",
        IFERROR(INDEX('Figure B-1 Male'!$C$4:$AJ$164, MATCH(Admin!F12, 'Figure B-1 Male'!$B$4:$B$164, 0), MATCH(Admin!M12, 'Figure B-1 Male'!$C$3:$AJ$3, 1)) / 100, ""),
        IF(Admin!C12="F",
            IFERROR(INDEX('Figure B-2 Female'!$C$4:$AJ$164, MATCH(Admin!F12, 'Figure B-2 Female'!$B$4:$B$164, 0), MATCH(Admin!M12, 'Figure B-2 Female'!$C$3:$AJ$3, 1)) / 100, ""),
            ""
        )
    )
)</f>
        <v/>
      </c>
      <c r="O12" s="33" t="str">
        <f>IF(OR(F12="", M12=""),
    "",
    IF(Admin!C12="M",
        (-26.97 - (0.12 * F12) + (1.99 * M12)) / 100,
        IF(Admin!C12="F",
            (-9.15 - (0.015 * F12) + (1.27 * M12)) / 100,
            ""
        )
    )
)</f>
        <v/>
      </c>
      <c r="P12" s="30" t="str">
        <f>IF(OR(Admin!I12="Pass", Admin!I12=""),
    "",
    IF(Admin!D12="",
        "",
        IF(Admin!C12="M",
            INDEX('Table B-2'!$D$7:$D$30, MATCH(MIN(40, Admin!D12), 'Table B-2'!$C$7:$C$30, 0)),
            IF(Admin!C12="F",
                INDEX('Table B-2'!$F$7:$F$30, MATCH(MIN(40, Admin!D12), 'Table B-2'!$E$7:$E$30, 0)),
                ""
            )
        )
    )
)</f>
        <v/>
      </c>
      <c r="Q12" s="31" t="str">
        <f t="shared" si="1"/>
        <v/>
      </c>
      <c r="R12" s="16"/>
      <c r="S12" s="16"/>
      <c r="T12" s="16"/>
      <c r="U12" s="16"/>
    </row>
    <row r="13" spans="1:21" x14ac:dyDescent="0.25">
      <c r="A13" s="16"/>
      <c r="B13" s="16"/>
      <c r="C13" s="17"/>
      <c r="D13" s="17"/>
      <c r="E13" s="16"/>
      <c r="F13" s="16"/>
      <c r="G13" s="16"/>
      <c r="H13" s="31" t="str">
        <f>IF(OR(Admin!E13="", Admin!D13=""),
    "",
    IF(Admin!C13="M",
        INDEX('Table B-1'!$C$9:$AX$31, MATCH(Admin!E13, 'Table B-1'!$A$9:$A$31, 0), MATCH(MIN(40,Admin!D13), 'Table B-1'!$C$4:$Z$4, 1)),
        IF(Admin!C13="F",
            INDEX('Table B-1'!$AA$9:$AX$31, MATCH(Admin!E13, 'Table B-1'!$A$9:$A$31, 0), MATCH(MIN(40,Admin!D13), 'Table B-1'!$AA$4:$AX$4, 1)),
            ""
        )
    )
)</f>
        <v/>
      </c>
      <c r="I13" s="31" t="str">
        <f t="shared" si="2"/>
        <v/>
      </c>
      <c r="J13" s="16"/>
      <c r="K13" s="16"/>
      <c r="L13" s="16"/>
      <c r="M13" s="29" t="str">
        <f t="shared" si="0"/>
        <v/>
      </c>
      <c r="N13" s="30" t="str">
        <f>IF(OR(Admin!F13="", Admin!M13=""),
    "",
    IF(Admin!C13="M",
        IFERROR(INDEX('Figure B-1 Male'!$C$4:$AJ$164, MATCH(Admin!F13, 'Figure B-1 Male'!$B$4:$B$164, 0), MATCH(Admin!M13, 'Figure B-1 Male'!$C$3:$AJ$3, 1)) / 100, ""),
        IF(Admin!C13="F",
            IFERROR(INDEX('Figure B-2 Female'!$C$4:$AJ$164, MATCH(Admin!F13, 'Figure B-2 Female'!$B$4:$B$164, 0), MATCH(Admin!M13, 'Figure B-2 Female'!$C$3:$AJ$3, 1)) / 100, ""),
            ""
        )
    )
)</f>
        <v/>
      </c>
      <c r="O13" s="33" t="str">
        <f>IF(OR(F13="", M13=""),
    "",
    IF(Admin!C13="M",
        (-26.97 - (0.12 * F13) + (1.99 * M13)) / 100,
        IF(Admin!C13="F",
            (-9.15 - (0.015 * F13) + (1.27 * M13)) / 100,
            ""
        )
    )
)</f>
        <v/>
      </c>
      <c r="P13" s="30" t="str">
        <f>IF(OR(Admin!I13="Pass", Admin!I13=""),
    "",
    IF(Admin!D13="",
        "",
        IF(Admin!C13="M",
            INDEX('Table B-2'!$D$7:$D$30, MATCH(MIN(40, Admin!D13), 'Table B-2'!$C$7:$C$30, 0)),
            IF(Admin!C13="F",
                INDEX('Table B-2'!$F$7:$F$30, MATCH(MIN(40, Admin!D13), 'Table B-2'!$E$7:$E$30, 0)),
                ""
            )
        )
    )
)</f>
        <v/>
      </c>
      <c r="Q13" s="31" t="str">
        <f t="shared" si="1"/>
        <v/>
      </c>
      <c r="R13" s="16"/>
      <c r="S13" s="16"/>
      <c r="T13" s="16"/>
      <c r="U13" s="16"/>
    </row>
    <row r="14" spans="1:21" x14ac:dyDescent="0.25">
      <c r="A14" s="16"/>
      <c r="B14" s="16"/>
      <c r="C14" s="17"/>
      <c r="D14" s="17"/>
      <c r="E14" s="16"/>
      <c r="F14" s="16"/>
      <c r="G14" s="16"/>
      <c r="H14" s="31" t="str">
        <f>IF(OR(Admin!E14="", Admin!D14=""),
    "",
    IF(Admin!C14="M",
        INDEX('Table B-1'!$C$9:$AX$31, MATCH(Admin!E14, 'Table B-1'!$A$9:$A$31, 0), MATCH(MIN(40,Admin!D14), 'Table B-1'!$C$4:$Z$4, 1)),
        IF(Admin!C14="F",
            INDEX('Table B-1'!$AA$9:$AX$31, MATCH(Admin!E14, 'Table B-1'!$A$9:$A$31, 0), MATCH(MIN(40,Admin!D14), 'Table B-1'!$AA$4:$AX$4, 1)),
            ""
        )
    )
)</f>
        <v/>
      </c>
      <c r="I14" s="31" t="str">
        <f t="shared" si="2"/>
        <v/>
      </c>
      <c r="J14" s="16"/>
      <c r="K14" s="16"/>
      <c r="L14" s="16"/>
      <c r="M14" s="29" t="str">
        <f t="shared" si="0"/>
        <v/>
      </c>
      <c r="N14" s="30" t="str">
        <f>IF(OR(Admin!F14="", Admin!M14=""),
    "",
    IF(Admin!C14="M",
        IFERROR(INDEX('Figure B-1 Male'!$C$4:$AJ$164, MATCH(Admin!F14, 'Figure B-1 Male'!$B$4:$B$164, 0), MATCH(Admin!M14, 'Figure B-1 Male'!$C$3:$AJ$3, 1)) / 100, ""),
        IF(Admin!C14="F",
            IFERROR(INDEX('Figure B-2 Female'!$C$4:$AJ$164, MATCH(Admin!F14, 'Figure B-2 Female'!$B$4:$B$164, 0), MATCH(Admin!M14, 'Figure B-2 Female'!$C$3:$AJ$3, 1)) / 100, ""),
            ""
        )
    )
)</f>
        <v/>
      </c>
      <c r="O14" s="33" t="str">
        <f>IF(OR(F14="", M14=""),
    "",
    IF(Admin!C14="M",
        (-26.97 - (0.12 * F14) + (1.99 * M14)) / 100,
        IF(Admin!C14="F",
            (-9.15 - (0.015 * F14) + (1.27 * M14)) / 100,
            ""
        )
    )
)</f>
        <v/>
      </c>
      <c r="P14" s="30" t="str">
        <f>IF(OR(Admin!I14="Pass", Admin!I14=""),
    "",
    IF(Admin!D14="",
        "",
        IF(Admin!C14="M",
            INDEX('Table B-2'!$D$7:$D$30, MATCH(MIN(40, Admin!D14), 'Table B-2'!$C$7:$C$30, 0)),
            IF(Admin!C14="F",
                INDEX('Table B-2'!$F$7:$F$30, MATCH(MIN(40, Admin!D14), 'Table B-2'!$E$7:$E$30, 0)),
                ""
            )
        )
    )
)</f>
        <v/>
      </c>
      <c r="Q14" s="31" t="str">
        <f t="shared" si="1"/>
        <v/>
      </c>
      <c r="R14" s="16"/>
      <c r="S14" s="16"/>
      <c r="T14" s="16"/>
      <c r="U14" s="16"/>
    </row>
    <row r="15" spans="1:21" x14ac:dyDescent="0.25">
      <c r="A15" s="18"/>
      <c r="B15" s="16"/>
      <c r="C15" s="17"/>
      <c r="D15" s="17"/>
      <c r="E15" s="16"/>
      <c r="F15" s="16"/>
      <c r="G15" s="16"/>
      <c r="H15" s="31" t="str">
        <f>IF(OR(Admin!E15="", Admin!D15=""),
    "",
    IF(Admin!C15="M",
        INDEX('Table B-1'!$C$9:$AX$31, MATCH(Admin!E15, 'Table B-1'!$A$9:$A$31, 0), MATCH(MIN(40,Admin!D15), 'Table B-1'!$C$4:$Z$4, 1)),
        IF(Admin!C15="F",
            INDEX('Table B-1'!$AA$9:$AX$31, MATCH(Admin!E15, 'Table B-1'!$A$9:$A$31, 0), MATCH(MIN(40,Admin!D15), 'Table B-1'!$AA$4:$AX$4, 1)),
            ""
        )
    )
)</f>
        <v/>
      </c>
      <c r="I15" s="31" t="str">
        <f t="shared" si="2"/>
        <v/>
      </c>
      <c r="J15" s="16"/>
      <c r="K15" s="16"/>
      <c r="L15" s="16"/>
      <c r="M15" s="29" t="str">
        <f t="shared" si="0"/>
        <v/>
      </c>
      <c r="N15" s="30" t="str">
        <f>IF(OR(Admin!F15="", Admin!M15=""),
    "",
    IF(Admin!C15="M",
        IFERROR(INDEX('Figure B-1 Male'!$C$4:$AJ$164, MATCH(Admin!F15, 'Figure B-1 Male'!$B$4:$B$164, 0), MATCH(Admin!M15, 'Figure B-1 Male'!$C$3:$AJ$3, 1)) / 100, ""),
        IF(Admin!C15="F",
            IFERROR(INDEX('Figure B-2 Female'!$C$4:$AJ$164, MATCH(Admin!F15, 'Figure B-2 Female'!$B$4:$B$164, 0), MATCH(Admin!M15, 'Figure B-2 Female'!$C$3:$AJ$3, 1)) / 100, ""),
            ""
        )
    )
)</f>
        <v/>
      </c>
      <c r="O15" s="33" t="str">
        <f>IF(OR(F15="", M15=""),
    "",
    IF(Admin!C15="M",
        (-26.97 - (0.12 * F15) + (1.99 * M15)) / 100,
        IF(Admin!C15="F",
            (-9.15 - (0.015 * F15) + (1.27 * M15)) / 100,
            ""
        )
    )
)</f>
        <v/>
      </c>
      <c r="P15" s="30" t="str">
        <f>IF(OR(Admin!I15="Pass", Admin!I15=""),
    "",
    IF(Admin!D15="",
        "",
        IF(Admin!C15="M",
            INDEX('Table B-2'!$D$7:$D$30, MATCH(MIN(40, Admin!D15), 'Table B-2'!$C$7:$C$30, 0)),
            IF(Admin!C15="F",
                INDEX('Table B-2'!$F$7:$F$30, MATCH(MIN(40, Admin!D15), 'Table B-2'!$E$7:$E$30, 0)),
                ""
            )
        )
    )
)</f>
        <v/>
      </c>
      <c r="Q15" s="31" t="str">
        <f t="shared" si="1"/>
        <v/>
      </c>
      <c r="R15" s="16"/>
      <c r="S15" s="16"/>
      <c r="T15" s="16"/>
      <c r="U15" s="16"/>
    </row>
    <row r="16" spans="1:21" x14ac:dyDescent="0.25">
      <c r="A16" s="19"/>
      <c r="B16" s="16"/>
      <c r="C16" s="17"/>
      <c r="D16" s="17"/>
      <c r="E16" s="16"/>
      <c r="F16" s="16"/>
      <c r="G16" s="16"/>
      <c r="H16" s="31" t="str">
        <f>IF(OR(Admin!E16="", Admin!D16=""),
    "",
    IF(Admin!C16="M",
        INDEX('Table B-1'!$C$9:$AX$31, MATCH(Admin!E16, 'Table B-1'!$A$9:$A$31, 0), MATCH(MIN(40,Admin!D16), 'Table B-1'!$C$4:$Z$4, 1)),
        IF(Admin!C16="F",
            INDEX('Table B-1'!$AA$9:$AX$31, MATCH(Admin!E16, 'Table B-1'!$A$9:$A$31, 0), MATCH(MIN(40,Admin!D16), 'Table B-1'!$AA$4:$AX$4, 1)),
            ""
        )
    )
)</f>
        <v/>
      </c>
      <c r="I16" s="31" t="str">
        <f t="shared" si="2"/>
        <v/>
      </c>
      <c r="J16" s="16"/>
      <c r="K16" s="16"/>
      <c r="L16" s="16"/>
      <c r="M16" s="29" t="str">
        <f t="shared" si="0"/>
        <v/>
      </c>
      <c r="N16" s="30" t="str">
        <f>IF(OR(Admin!F16="", Admin!M16=""),
    "",
    IF(Admin!C16="M",
        IFERROR(INDEX('Figure B-1 Male'!$C$4:$AJ$164, MATCH(Admin!F16, 'Figure B-1 Male'!$B$4:$B$164, 0), MATCH(Admin!M16, 'Figure B-1 Male'!$C$3:$AJ$3, 1)) / 100, ""),
        IF(Admin!C16="F",
            IFERROR(INDEX('Figure B-2 Female'!$C$4:$AJ$164, MATCH(Admin!F16, 'Figure B-2 Female'!$B$4:$B$164, 0), MATCH(Admin!M16, 'Figure B-2 Female'!$C$3:$AJ$3, 1)) / 100, ""),
            ""
        )
    )
)</f>
        <v/>
      </c>
      <c r="O16" s="33" t="str">
        <f>IF(OR(F16="", M16=""),
    "",
    IF(Admin!C16="M",
        (-26.97 - (0.12 * F16) + (1.99 * M16)) / 100,
        IF(Admin!C16="F",
            (-9.15 - (0.015 * F16) + (1.27 * M16)) / 100,
            ""
        )
    )
)</f>
        <v/>
      </c>
      <c r="P16" s="30" t="str">
        <f>IF(OR(Admin!I16="Pass", Admin!I16=""),
    "",
    IF(Admin!D16="",
        "",
        IF(Admin!C16="M",
            INDEX('Table B-2'!$D$7:$D$30, MATCH(MIN(40, Admin!D16), 'Table B-2'!$C$7:$C$30, 0)),
            IF(Admin!C16="F",
                INDEX('Table B-2'!$F$7:$F$30, MATCH(MIN(40, Admin!D16), 'Table B-2'!$E$7:$E$30, 0)),
                ""
            )
        )
    )
)</f>
        <v/>
      </c>
      <c r="Q16" s="31" t="str">
        <f t="shared" si="1"/>
        <v/>
      </c>
      <c r="R16" s="16"/>
      <c r="S16" s="16"/>
      <c r="T16" s="16"/>
      <c r="U16" s="16"/>
    </row>
    <row r="17" spans="1:21" x14ac:dyDescent="0.25">
      <c r="A17" s="16"/>
      <c r="B17" s="16"/>
      <c r="C17" s="17"/>
      <c r="D17" s="17"/>
      <c r="E17" s="16"/>
      <c r="F17" s="16"/>
      <c r="G17" s="16"/>
      <c r="H17" s="31" t="str">
        <f>IF(OR(Admin!E17="", Admin!D17=""),
    "",
    IF(Admin!C17="M",
        INDEX('Table B-1'!$C$9:$AX$31, MATCH(Admin!E17, 'Table B-1'!$A$9:$A$31, 0), MATCH(MIN(40,Admin!D17), 'Table B-1'!$C$4:$Z$4, 1)),
        IF(Admin!C17="F",
            INDEX('Table B-1'!$AA$9:$AX$31, MATCH(Admin!E17, 'Table B-1'!$A$9:$A$31, 0), MATCH(MIN(40,Admin!D17), 'Table B-1'!$AA$4:$AX$4, 1)),
            ""
        )
    )
)</f>
        <v/>
      </c>
      <c r="I17" s="31" t="str">
        <f t="shared" si="2"/>
        <v/>
      </c>
      <c r="J17" s="16"/>
      <c r="K17" s="16"/>
      <c r="L17" s="16"/>
      <c r="M17" s="29" t="str">
        <f t="shared" si="0"/>
        <v/>
      </c>
      <c r="N17" s="30" t="str">
        <f>IF(OR(Admin!F17="", Admin!M17=""),
    "",
    IF(Admin!C17="M",
        IFERROR(INDEX('Figure B-1 Male'!$C$4:$AJ$164, MATCH(Admin!F17, 'Figure B-1 Male'!$B$4:$B$164, 0), MATCH(Admin!M17, 'Figure B-1 Male'!$C$3:$AJ$3, 1)) / 100, ""),
        IF(Admin!C17="F",
            IFERROR(INDEX('Figure B-2 Female'!$C$4:$AJ$164, MATCH(Admin!F17, 'Figure B-2 Female'!$B$4:$B$164, 0), MATCH(Admin!M17, 'Figure B-2 Female'!$C$3:$AJ$3, 1)) / 100, ""),
            ""
        )
    )
)</f>
        <v/>
      </c>
      <c r="O17" s="33" t="str">
        <f>IF(OR(F17="", M17=""),
    "",
    IF(Admin!C17="M",
        (-26.97 - (0.12 * F17) + (1.99 * M17)) / 100,
        IF(Admin!C17="F",
            (-9.15 - (0.015 * F17) + (1.27 * M17)) / 100,
            ""
        )
    )
)</f>
        <v/>
      </c>
      <c r="P17" s="30" t="str">
        <f>IF(OR(Admin!I17="Pass", Admin!I17=""),
    "",
    IF(Admin!D17="",
        "",
        IF(Admin!C17="M",
            INDEX('Table B-2'!$D$7:$D$30, MATCH(MIN(40, Admin!D17), 'Table B-2'!$C$7:$C$30, 0)),
            IF(Admin!C17="F",
                INDEX('Table B-2'!$F$7:$F$30, MATCH(MIN(40, Admin!D17), 'Table B-2'!$E$7:$E$30, 0)),
                ""
            )
        )
    )
)</f>
        <v/>
      </c>
      <c r="Q17" s="31" t="str">
        <f t="shared" si="1"/>
        <v/>
      </c>
      <c r="R17" s="16"/>
      <c r="S17" s="16"/>
      <c r="T17" s="16"/>
      <c r="U17" s="16"/>
    </row>
    <row r="18" spans="1:21" x14ac:dyDescent="0.25">
      <c r="A18" s="16"/>
      <c r="B18" s="16"/>
      <c r="C18" s="17"/>
      <c r="D18" s="17"/>
      <c r="E18" s="16"/>
      <c r="F18" s="16"/>
      <c r="G18" s="16"/>
      <c r="H18" s="31" t="str">
        <f>IF(OR(Admin!E18="", Admin!D18=""),
    "",
    IF(Admin!C18="M",
        INDEX('Table B-1'!$C$9:$AX$31, MATCH(Admin!E18, 'Table B-1'!$A$9:$A$31, 0), MATCH(MIN(40,Admin!D18), 'Table B-1'!$C$4:$Z$4, 1)),
        IF(Admin!C18="F",
            INDEX('Table B-1'!$AA$9:$AX$31, MATCH(Admin!E18, 'Table B-1'!$A$9:$A$31, 0), MATCH(MIN(40,Admin!D18), 'Table B-1'!$AA$4:$AX$4, 1)),
            ""
        )
    )
)</f>
        <v/>
      </c>
      <c r="I18" s="31" t="str">
        <f t="shared" si="2"/>
        <v/>
      </c>
      <c r="J18" s="16"/>
      <c r="K18" s="16"/>
      <c r="L18" s="16"/>
      <c r="M18" s="29" t="str">
        <f t="shared" si="0"/>
        <v/>
      </c>
      <c r="N18" s="30" t="str">
        <f>IF(OR(Admin!F18="", Admin!M18=""),
    "",
    IF(Admin!C18="M",
        IFERROR(INDEX('Figure B-1 Male'!$C$4:$AJ$164, MATCH(Admin!F18, 'Figure B-1 Male'!$B$4:$B$164, 0), MATCH(Admin!M18, 'Figure B-1 Male'!$C$3:$AJ$3, 1)) / 100, ""),
        IF(Admin!C18="F",
            IFERROR(INDEX('Figure B-2 Female'!$C$4:$AJ$164, MATCH(Admin!F18, 'Figure B-2 Female'!$B$4:$B$164, 0), MATCH(Admin!M18, 'Figure B-2 Female'!$C$3:$AJ$3, 1)) / 100, ""),
            ""
        )
    )
)</f>
        <v/>
      </c>
      <c r="O18" s="33" t="str">
        <f>IF(OR(F18="", M18=""),
    "",
    IF(Admin!C18="M",
        (-26.97 - (0.12 * F18) + (1.99 * M18)) / 100,
        IF(Admin!C18="F",
            (-9.15 - (0.015 * F18) + (1.27 * M18)) / 100,
            ""
        )
    )
)</f>
        <v/>
      </c>
      <c r="P18" s="30" t="str">
        <f>IF(OR(Admin!I18="Pass", Admin!I18=""),
    "",
    IF(Admin!D18="",
        "",
        IF(Admin!C18="M",
            INDEX('Table B-2'!$D$7:$D$30, MATCH(MIN(40, Admin!D18), 'Table B-2'!$C$7:$C$30, 0)),
            IF(Admin!C18="F",
                INDEX('Table B-2'!$F$7:$F$30, MATCH(MIN(40, Admin!D18), 'Table B-2'!$E$7:$E$30, 0)),
                ""
            )
        )
    )
)</f>
        <v/>
      </c>
      <c r="Q18" s="31" t="str">
        <f t="shared" si="1"/>
        <v/>
      </c>
      <c r="R18" s="16"/>
      <c r="S18" s="16"/>
      <c r="T18" s="16"/>
      <c r="U18" s="16"/>
    </row>
    <row r="19" spans="1:21" x14ac:dyDescent="0.25">
      <c r="A19" s="16"/>
      <c r="B19" s="16"/>
      <c r="C19" s="17"/>
      <c r="D19" s="17"/>
      <c r="E19" s="16"/>
      <c r="F19" s="16"/>
      <c r="G19" s="16"/>
      <c r="H19" s="31" t="str">
        <f>IF(OR(Admin!E19="", Admin!D19=""),
    "",
    IF(Admin!C19="M",
        INDEX('Table B-1'!$C$9:$AX$31, MATCH(Admin!E19, 'Table B-1'!$A$9:$A$31, 0), MATCH(MIN(40,Admin!D19), 'Table B-1'!$C$4:$Z$4, 1)),
        IF(Admin!C19="F",
            INDEX('Table B-1'!$AA$9:$AX$31, MATCH(Admin!E19, 'Table B-1'!$A$9:$A$31, 0), MATCH(MIN(40,Admin!D19), 'Table B-1'!$AA$4:$AX$4, 1)),
            ""
        )
    )
)</f>
        <v/>
      </c>
      <c r="I19" s="31" t="str">
        <f t="shared" si="2"/>
        <v/>
      </c>
      <c r="J19" s="16"/>
      <c r="K19" s="16"/>
      <c r="L19" s="16"/>
      <c r="M19" s="29" t="str">
        <f t="shared" si="0"/>
        <v/>
      </c>
      <c r="N19" s="30" t="str">
        <f>IF(OR(Admin!F19="", Admin!M19=""),
    "",
    IF(Admin!C19="M",
        IFERROR(INDEX('Figure B-1 Male'!$C$4:$AJ$164, MATCH(Admin!F19, 'Figure B-1 Male'!$B$4:$B$164, 0), MATCH(Admin!M19, 'Figure B-1 Male'!$C$3:$AJ$3, 1)) / 100, ""),
        IF(Admin!C19="F",
            IFERROR(INDEX('Figure B-2 Female'!$C$4:$AJ$164, MATCH(Admin!F19, 'Figure B-2 Female'!$B$4:$B$164, 0), MATCH(Admin!M19, 'Figure B-2 Female'!$C$3:$AJ$3, 1)) / 100, ""),
            ""
        )
    )
)</f>
        <v/>
      </c>
      <c r="O19" s="33" t="str">
        <f>IF(OR(F19="", M19=""),
    "",
    IF(Admin!C19="M",
        (-26.97 - (0.12 * F19) + (1.99 * M19)) / 100,
        IF(Admin!C19="F",
            (-9.15 - (0.015 * F19) + (1.27 * M19)) / 100,
            ""
        )
    )
)</f>
        <v/>
      </c>
      <c r="P19" s="30" t="str">
        <f>IF(OR(Admin!I19="Pass", Admin!I19=""),
    "",
    IF(Admin!D19="",
        "",
        IF(Admin!C19="M",
            INDEX('Table B-2'!$D$7:$D$30, MATCH(MIN(40, Admin!D19), 'Table B-2'!$C$7:$C$30, 0)),
            IF(Admin!C19="F",
                INDEX('Table B-2'!$F$7:$F$30, MATCH(MIN(40, Admin!D19), 'Table B-2'!$E$7:$E$30, 0)),
                ""
            )
        )
    )
)</f>
        <v/>
      </c>
      <c r="Q19" s="31" t="str">
        <f t="shared" si="1"/>
        <v/>
      </c>
      <c r="R19" s="16"/>
      <c r="S19" s="16"/>
      <c r="T19" s="16"/>
      <c r="U19" s="16"/>
    </row>
    <row r="20" spans="1:21" x14ac:dyDescent="0.25">
      <c r="A20" s="16"/>
      <c r="B20" s="16"/>
      <c r="C20" s="17"/>
      <c r="D20" s="17"/>
      <c r="E20" s="16"/>
      <c r="F20" s="16"/>
      <c r="G20" s="16"/>
      <c r="H20" s="31" t="str">
        <f>IF(OR(Admin!E20="", Admin!D20=""),
    "",
    IF(Admin!C20="M",
        INDEX('Table B-1'!$C$9:$AX$31, MATCH(Admin!E20, 'Table B-1'!$A$9:$A$31, 0), MATCH(MIN(40,Admin!D20), 'Table B-1'!$C$4:$Z$4, 1)),
        IF(Admin!C20="F",
            INDEX('Table B-1'!$AA$9:$AX$31, MATCH(Admin!E20, 'Table B-1'!$A$9:$A$31, 0), MATCH(MIN(40,Admin!D20), 'Table B-1'!$AA$4:$AX$4, 1)),
            ""
        )
    )
)</f>
        <v/>
      </c>
      <c r="I20" s="31" t="str">
        <f t="shared" si="2"/>
        <v/>
      </c>
      <c r="J20" s="16"/>
      <c r="K20" s="16"/>
      <c r="L20" s="16"/>
      <c r="M20" s="29" t="str">
        <f t="shared" si="0"/>
        <v/>
      </c>
      <c r="N20" s="30" t="str">
        <f>IF(OR(Admin!F20="", Admin!M20=""),
    "",
    IF(Admin!C20="M",
        IFERROR(INDEX('Figure B-1 Male'!$C$4:$AJ$164, MATCH(Admin!F20, 'Figure B-1 Male'!$B$4:$B$164, 0), MATCH(Admin!M20, 'Figure B-1 Male'!$C$3:$AJ$3, 1)) / 100, ""),
        IF(Admin!C20="F",
            IFERROR(INDEX('Figure B-2 Female'!$C$4:$AJ$164, MATCH(Admin!F20, 'Figure B-2 Female'!$B$4:$B$164, 0), MATCH(Admin!M20, 'Figure B-2 Female'!$C$3:$AJ$3, 1)) / 100, ""),
            ""
        )
    )
)</f>
        <v/>
      </c>
      <c r="O20" s="33" t="str">
        <f>IF(OR(F20="", M20=""),
    "",
    IF(Admin!C20="M",
        (-26.97 - (0.12 * F20) + (1.99 * M20)) / 100,
        IF(Admin!C20="F",
            (-9.15 - (0.015 * F20) + (1.27 * M20)) / 100,
            ""
        )
    )
)</f>
        <v/>
      </c>
      <c r="P20" s="30" t="str">
        <f>IF(OR(Admin!I20="Pass", Admin!I20=""),
    "",
    IF(Admin!D20="",
        "",
        IF(Admin!C20="M",
            INDEX('Table B-2'!$D$7:$D$30, MATCH(MIN(40, Admin!D20), 'Table B-2'!$C$7:$C$30, 0)),
            IF(Admin!C20="F",
                INDEX('Table B-2'!$F$7:$F$30, MATCH(MIN(40, Admin!D20), 'Table B-2'!$E$7:$E$30, 0)),
                ""
            )
        )
    )
)</f>
        <v/>
      </c>
      <c r="Q20" s="31" t="str">
        <f t="shared" si="1"/>
        <v/>
      </c>
      <c r="R20" s="16"/>
      <c r="S20" s="16"/>
      <c r="T20" s="16"/>
      <c r="U20" s="16"/>
    </row>
    <row r="21" spans="1:21" x14ac:dyDescent="0.25">
      <c r="A21" s="16"/>
      <c r="B21" s="16"/>
      <c r="C21" s="17"/>
      <c r="D21" s="17"/>
      <c r="E21" s="16"/>
      <c r="F21" s="16"/>
      <c r="G21" s="16"/>
      <c r="H21" s="31" t="str">
        <f>IF(OR(Admin!E21="", Admin!D21=""),
    "",
    IF(Admin!C21="M",
        INDEX('Table B-1'!$C$9:$AX$31, MATCH(Admin!E21, 'Table B-1'!$A$9:$A$31, 0), MATCH(MIN(40,Admin!D21), 'Table B-1'!$C$4:$Z$4, 1)),
        IF(Admin!C21="F",
            INDEX('Table B-1'!$AA$9:$AX$31, MATCH(Admin!E21, 'Table B-1'!$A$9:$A$31, 0), MATCH(MIN(40,Admin!D21), 'Table B-1'!$AA$4:$AX$4, 1)),
            ""
        )
    )
)</f>
        <v/>
      </c>
      <c r="I21" s="31" t="str">
        <f t="shared" si="2"/>
        <v/>
      </c>
      <c r="J21" s="16"/>
      <c r="K21" s="16"/>
      <c r="L21" s="16"/>
      <c r="M21" s="29" t="str">
        <f t="shared" si="0"/>
        <v/>
      </c>
      <c r="N21" s="30" t="str">
        <f>IF(OR(Admin!F21="", Admin!M21=""),
    "",
    IF(Admin!C21="M",
        IFERROR(INDEX('Figure B-1 Male'!$C$4:$AJ$164, MATCH(Admin!F21, 'Figure B-1 Male'!$B$4:$B$164, 0), MATCH(Admin!M21, 'Figure B-1 Male'!$C$3:$AJ$3, 1)) / 100, ""),
        IF(Admin!C21="F",
            IFERROR(INDEX('Figure B-2 Female'!$C$4:$AJ$164, MATCH(Admin!F21, 'Figure B-2 Female'!$B$4:$B$164, 0), MATCH(Admin!M21, 'Figure B-2 Female'!$C$3:$AJ$3, 1)) / 100, ""),
            ""
        )
    )
)</f>
        <v/>
      </c>
      <c r="O21" s="33" t="str">
        <f>IF(OR(F21="", M21=""),
    "",
    IF(Admin!C21="M",
        (-26.97 - (0.12 * F21) + (1.99 * M21)) / 100,
        IF(Admin!C21="F",
            (-9.15 - (0.015 * F21) + (1.27 * M21)) / 100,
            ""
        )
    )
)</f>
        <v/>
      </c>
      <c r="P21" s="30" t="str">
        <f>IF(OR(Admin!I21="Pass", Admin!I21=""),
    "",
    IF(Admin!D21="",
        "",
        IF(Admin!C21="M",
            INDEX('Table B-2'!$D$7:$D$30, MATCH(MIN(40, Admin!D21), 'Table B-2'!$C$7:$C$30, 0)),
            IF(Admin!C21="F",
                INDEX('Table B-2'!$F$7:$F$30, MATCH(MIN(40, Admin!D21), 'Table B-2'!$E$7:$E$30, 0)),
                ""
            )
        )
    )
)</f>
        <v/>
      </c>
      <c r="Q21" s="31" t="str">
        <f t="shared" si="1"/>
        <v/>
      </c>
      <c r="R21" s="16"/>
      <c r="S21" s="16"/>
      <c r="T21" s="16"/>
      <c r="U21" s="16"/>
    </row>
    <row r="22" spans="1:21" x14ac:dyDescent="0.25">
      <c r="A22" s="16"/>
      <c r="B22" s="16"/>
      <c r="C22" s="17"/>
      <c r="D22" s="17"/>
      <c r="E22" s="16"/>
      <c r="F22" s="16"/>
      <c r="G22" s="16"/>
      <c r="H22" s="31" t="str">
        <f>IF(OR(Admin!E22="", Admin!D22=""),
    "",
    IF(Admin!C22="M",
        INDEX('Table B-1'!$C$9:$AX$31, MATCH(Admin!E22, 'Table B-1'!$A$9:$A$31, 0), MATCH(MIN(40,Admin!D22), 'Table B-1'!$C$4:$Z$4, 1)),
        IF(Admin!C22="F",
            INDEX('Table B-1'!$AA$9:$AX$31, MATCH(Admin!E22, 'Table B-1'!$A$9:$A$31, 0), MATCH(MIN(40,Admin!D22), 'Table B-1'!$AA$4:$AX$4, 1)),
            ""
        )
    )
)</f>
        <v/>
      </c>
      <c r="I22" s="31" t="str">
        <f t="shared" si="2"/>
        <v/>
      </c>
      <c r="J22" s="16"/>
      <c r="K22" s="16"/>
      <c r="L22" s="16"/>
      <c r="M22" s="29" t="str">
        <f t="shared" si="0"/>
        <v/>
      </c>
      <c r="N22" s="30" t="str">
        <f>IF(OR(Admin!F22="", Admin!M22=""),
    "",
    IF(Admin!C22="M",
        IFERROR(INDEX('Figure B-1 Male'!$C$4:$AJ$164, MATCH(Admin!F22, 'Figure B-1 Male'!$B$4:$B$164, 0), MATCH(Admin!M22, 'Figure B-1 Male'!$C$3:$AJ$3, 1)) / 100, ""),
        IF(Admin!C22="F",
            IFERROR(INDEX('Figure B-2 Female'!$C$4:$AJ$164, MATCH(Admin!F22, 'Figure B-2 Female'!$B$4:$B$164, 0), MATCH(Admin!M22, 'Figure B-2 Female'!$C$3:$AJ$3, 1)) / 100, ""),
            ""
        )
    )
)</f>
        <v/>
      </c>
      <c r="O22" s="33" t="str">
        <f>IF(OR(F22="", M22=""),
    "",
    IF(Admin!C22="M",
        (-26.97 - (0.12 * F22) + (1.99 * M22)) / 100,
        IF(Admin!C22="F",
            (-9.15 - (0.015 * F22) + (1.27 * M22)) / 100,
            ""
        )
    )
)</f>
        <v/>
      </c>
      <c r="P22" s="30" t="str">
        <f>IF(OR(Admin!I22="Pass", Admin!I22=""),
    "",
    IF(Admin!D22="",
        "",
        IF(Admin!C22="M",
            INDEX('Table B-2'!$D$7:$D$30, MATCH(MIN(40, Admin!D22), 'Table B-2'!$C$7:$C$30, 0)),
            IF(Admin!C22="F",
                INDEX('Table B-2'!$F$7:$F$30, MATCH(MIN(40, Admin!D22), 'Table B-2'!$E$7:$E$30, 0)),
                ""
            )
        )
    )
)</f>
        <v/>
      </c>
      <c r="Q22" s="31" t="str">
        <f t="shared" si="1"/>
        <v/>
      </c>
      <c r="R22" s="16"/>
      <c r="S22" s="16"/>
      <c r="T22" s="16"/>
      <c r="U22" s="16"/>
    </row>
    <row r="23" spans="1:21" x14ac:dyDescent="0.25">
      <c r="A23" s="16"/>
      <c r="B23" s="16"/>
      <c r="C23" s="17"/>
      <c r="D23" s="17"/>
      <c r="E23" s="16"/>
      <c r="F23" s="16"/>
      <c r="G23" s="16"/>
      <c r="H23" s="31" t="str">
        <f>IF(OR(Admin!E23="", Admin!D23=""),
    "",
    IF(Admin!C23="M",
        INDEX('Table B-1'!$C$9:$AX$31, MATCH(Admin!E23, 'Table B-1'!$A$9:$A$31, 0), MATCH(MIN(40,Admin!D23), 'Table B-1'!$C$4:$Z$4, 1)),
        IF(Admin!C23="F",
            INDEX('Table B-1'!$AA$9:$AX$31, MATCH(Admin!E23, 'Table B-1'!$A$9:$A$31, 0), MATCH(MIN(40,Admin!D23), 'Table B-1'!$AA$4:$AX$4, 1)),
            ""
        )
    )
)</f>
        <v/>
      </c>
      <c r="I23" s="31" t="str">
        <f t="shared" si="2"/>
        <v/>
      </c>
      <c r="J23" s="16"/>
      <c r="K23" s="16"/>
      <c r="L23" s="16"/>
      <c r="M23" s="29" t="str">
        <f t="shared" si="0"/>
        <v/>
      </c>
      <c r="N23" s="30" t="str">
        <f>IF(OR(Admin!F23="", Admin!M23=""),
    "",
    IF(Admin!C23="M",
        IFERROR(INDEX('Figure B-1 Male'!$C$4:$AJ$164, MATCH(Admin!F23, 'Figure B-1 Male'!$B$4:$B$164, 0), MATCH(Admin!M23, 'Figure B-1 Male'!$C$3:$AJ$3, 1)) / 100, ""),
        IF(Admin!C23="F",
            IFERROR(INDEX('Figure B-2 Female'!$C$4:$AJ$164, MATCH(Admin!F23, 'Figure B-2 Female'!$B$4:$B$164, 0), MATCH(Admin!M23, 'Figure B-2 Female'!$C$3:$AJ$3, 1)) / 100, ""),
            ""
        )
    )
)</f>
        <v/>
      </c>
      <c r="O23" s="33" t="str">
        <f>IF(OR(F23="", M23=""),
    "",
    IF(Admin!C23="M",
        (-26.97 - (0.12 * F23) + (1.99 * M23)) / 100,
        IF(Admin!C23="F",
            (-9.15 - (0.015 * F23) + (1.27 * M23)) / 100,
            ""
        )
    )
)</f>
        <v/>
      </c>
      <c r="P23" s="30" t="str">
        <f>IF(OR(Admin!I23="Pass", Admin!I23=""),
    "",
    IF(Admin!D23="",
        "",
        IF(Admin!C23="M",
            INDEX('Table B-2'!$D$7:$D$30, MATCH(MIN(40, Admin!D23), 'Table B-2'!$C$7:$C$30, 0)),
            IF(Admin!C23="F",
                INDEX('Table B-2'!$F$7:$F$30, MATCH(MIN(40, Admin!D23), 'Table B-2'!$E$7:$E$30, 0)),
                ""
            )
        )
    )
)</f>
        <v/>
      </c>
      <c r="Q23" s="31" t="str">
        <f t="shared" si="1"/>
        <v/>
      </c>
      <c r="R23" s="16"/>
      <c r="S23" s="16"/>
      <c r="T23" s="16"/>
      <c r="U23" s="16"/>
    </row>
    <row r="24" spans="1:21" x14ac:dyDescent="0.25">
      <c r="A24" s="16"/>
      <c r="B24" s="16"/>
      <c r="C24" s="17"/>
      <c r="D24" s="17"/>
      <c r="E24" s="16"/>
      <c r="F24" s="16"/>
      <c r="G24" s="16"/>
      <c r="H24" s="31" t="str">
        <f>IF(OR(Admin!E24="", Admin!D24=""),
    "",
    IF(Admin!C24="M",
        INDEX('Table B-1'!$C$9:$AX$31, MATCH(Admin!E24, 'Table B-1'!$A$9:$A$31, 0), MATCH(MIN(40,Admin!D24), 'Table B-1'!$C$4:$Z$4, 1)),
        IF(Admin!C24="F",
            INDEX('Table B-1'!$AA$9:$AX$31, MATCH(Admin!E24, 'Table B-1'!$A$9:$A$31, 0), MATCH(MIN(40,Admin!D24), 'Table B-1'!$AA$4:$AX$4, 1)),
            ""
        )
    )
)</f>
        <v/>
      </c>
      <c r="I24" s="31" t="str">
        <f t="shared" si="2"/>
        <v/>
      </c>
      <c r="J24" s="16"/>
      <c r="K24" s="16"/>
      <c r="L24" s="16"/>
      <c r="M24" s="29" t="str">
        <f t="shared" si="0"/>
        <v/>
      </c>
      <c r="N24" s="30" t="str">
        <f>IF(OR(Admin!F24="", Admin!M24=""),
    "",
    IF(Admin!C24="M",
        IFERROR(INDEX('Figure B-1 Male'!$C$4:$AJ$164, MATCH(Admin!F24, 'Figure B-1 Male'!$B$4:$B$164, 0), MATCH(Admin!M24, 'Figure B-1 Male'!$C$3:$AJ$3, 1)) / 100, ""),
        IF(Admin!C24="F",
            IFERROR(INDEX('Figure B-2 Female'!$C$4:$AJ$164, MATCH(Admin!F24, 'Figure B-2 Female'!$B$4:$B$164, 0), MATCH(Admin!M24, 'Figure B-2 Female'!$C$3:$AJ$3, 1)) / 100, ""),
            ""
        )
    )
)</f>
        <v/>
      </c>
      <c r="O24" s="33" t="str">
        <f>IF(OR(F24="", M24=""),
    "",
    IF(Admin!C24="M",
        (-26.97 - (0.12 * F24) + (1.99 * M24)) / 100,
        IF(Admin!C24="F",
            (-9.15 - (0.015 * F24) + (1.27 * M24)) / 100,
            ""
        )
    )
)</f>
        <v/>
      </c>
      <c r="P24" s="30" t="str">
        <f>IF(OR(Admin!I24="Pass", Admin!I24=""),
    "",
    IF(Admin!D24="",
        "",
        IF(Admin!C24="M",
            INDEX('Table B-2'!$D$7:$D$30, MATCH(MIN(40, Admin!D24), 'Table B-2'!$C$7:$C$30, 0)),
            IF(Admin!C24="F",
                INDEX('Table B-2'!$F$7:$F$30, MATCH(MIN(40, Admin!D24), 'Table B-2'!$E$7:$E$30, 0)),
                ""
            )
        )
    )
)</f>
        <v/>
      </c>
      <c r="Q24" s="31" t="str">
        <f t="shared" si="1"/>
        <v/>
      </c>
      <c r="R24" s="16"/>
      <c r="S24" s="16"/>
      <c r="T24" s="16"/>
      <c r="U24" s="16"/>
    </row>
    <row r="25" spans="1:21" x14ac:dyDescent="0.25">
      <c r="A25" s="16"/>
      <c r="B25" s="16"/>
      <c r="C25" s="17"/>
      <c r="D25" s="17"/>
      <c r="E25" s="16"/>
      <c r="F25" s="16"/>
      <c r="G25" s="16"/>
      <c r="H25" s="31" t="str">
        <f>IF(OR(Admin!E25="", Admin!D25=""),
    "",
    IF(Admin!C25="M",
        INDEX('Table B-1'!$C$9:$AX$31, MATCH(Admin!E25, 'Table B-1'!$A$9:$A$31, 0), MATCH(MIN(40,Admin!D25), 'Table B-1'!$C$4:$Z$4, 1)),
        IF(Admin!C25="F",
            INDEX('Table B-1'!$AA$9:$AX$31, MATCH(Admin!E25, 'Table B-1'!$A$9:$A$31, 0), MATCH(MIN(40,Admin!D25), 'Table B-1'!$AA$4:$AX$4, 1)),
            ""
        )
    )
)</f>
        <v/>
      </c>
      <c r="I25" s="31" t="str">
        <f t="shared" si="2"/>
        <v/>
      </c>
      <c r="J25" s="16"/>
      <c r="K25" s="16"/>
      <c r="L25" s="16"/>
      <c r="M25" s="29" t="str">
        <f t="shared" si="0"/>
        <v/>
      </c>
      <c r="N25" s="30" t="str">
        <f>IF(OR(Admin!F25="", Admin!M25=""),
    "",
    IF(Admin!C25="M",
        IFERROR(INDEX('Figure B-1 Male'!$C$4:$AJ$164, MATCH(Admin!F25, 'Figure B-1 Male'!$B$4:$B$164, 0), MATCH(Admin!M25, 'Figure B-1 Male'!$C$3:$AJ$3, 1)) / 100, ""),
        IF(Admin!C25="F",
            IFERROR(INDEX('Figure B-2 Female'!$C$4:$AJ$164, MATCH(Admin!F25, 'Figure B-2 Female'!$B$4:$B$164, 0), MATCH(Admin!M25, 'Figure B-2 Female'!$C$3:$AJ$3, 1)) / 100, ""),
            ""
        )
    )
)</f>
        <v/>
      </c>
      <c r="O25" s="33" t="str">
        <f>IF(OR(F25="", M25=""),
    "",
    IF(Admin!C25="M",
        (-26.97 - (0.12 * F25) + (1.99 * M25)) / 100,
        IF(Admin!C25="F",
            (-9.15 - (0.015 * F25) + (1.27 * M25)) / 100,
            ""
        )
    )
)</f>
        <v/>
      </c>
      <c r="P25" s="30" t="str">
        <f>IF(OR(Admin!I25="Pass", Admin!I25=""),
    "",
    IF(Admin!D25="",
        "",
        IF(Admin!C25="M",
            INDEX('Table B-2'!$D$7:$D$30, MATCH(MIN(40, Admin!D25), 'Table B-2'!$C$7:$C$30, 0)),
            IF(Admin!C25="F",
                INDEX('Table B-2'!$F$7:$F$30, MATCH(MIN(40, Admin!D25), 'Table B-2'!$E$7:$E$30, 0)),
                ""
            )
        )
    )
)</f>
        <v/>
      </c>
      <c r="Q25" s="31" t="str">
        <f t="shared" si="1"/>
        <v/>
      </c>
      <c r="R25" s="16"/>
      <c r="S25" s="16"/>
      <c r="T25" s="16"/>
      <c r="U25" s="16"/>
    </row>
    <row r="26" spans="1:21" x14ac:dyDescent="0.25">
      <c r="A26" s="16"/>
      <c r="B26" s="16"/>
      <c r="C26" s="17"/>
      <c r="D26" s="17"/>
      <c r="E26" s="16"/>
      <c r="F26" s="16"/>
      <c r="G26" s="16"/>
      <c r="H26" s="31" t="str">
        <f>IF(OR(Admin!E26="", Admin!D26=""),
    "",
    IF(Admin!C26="M",
        INDEX('Table B-1'!$C$9:$AX$31, MATCH(Admin!E26, 'Table B-1'!$A$9:$A$31, 0), MATCH(MIN(40,Admin!D26), 'Table B-1'!$C$4:$Z$4, 1)),
        IF(Admin!C26="F",
            INDEX('Table B-1'!$AA$9:$AX$31, MATCH(Admin!E26, 'Table B-1'!$A$9:$A$31, 0), MATCH(MIN(40,Admin!D26), 'Table B-1'!$AA$4:$AX$4, 1)),
            ""
        )
    )
)</f>
        <v/>
      </c>
      <c r="I26" s="31" t="str">
        <f t="shared" si="2"/>
        <v/>
      </c>
      <c r="J26" s="16"/>
      <c r="K26" s="16"/>
      <c r="L26" s="16"/>
      <c r="M26" s="29" t="str">
        <f t="shared" si="0"/>
        <v/>
      </c>
      <c r="N26" s="30" t="str">
        <f>IF(OR(Admin!F26="", Admin!M26=""),
    "",
    IF(Admin!C26="M",
        IFERROR(INDEX('Figure B-1 Male'!$C$4:$AJ$164, MATCH(Admin!F26, 'Figure B-1 Male'!$B$4:$B$164, 0), MATCH(Admin!M26, 'Figure B-1 Male'!$C$3:$AJ$3, 1)) / 100, ""),
        IF(Admin!C26="F",
            IFERROR(INDEX('Figure B-2 Female'!$C$4:$AJ$164, MATCH(Admin!F26, 'Figure B-2 Female'!$B$4:$B$164, 0), MATCH(Admin!M26, 'Figure B-2 Female'!$C$3:$AJ$3, 1)) / 100, ""),
            ""
        )
    )
)</f>
        <v/>
      </c>
      <c r="O26" s="33" t="str">
        <f>IF(OR(F26="", M26=""),
    "",
    IF(Admin!C26="M",
        (-26.97 - (0.12 * F26) + (1.99 * M26)) / 100,
        IF(Admin!C26="F",
            (-9.15 - (0.015 * F26) + (1.27 * M26)) / 100,
            ""
        )
    )
)</f>
        <v/>
      </c>
      <c r="P26" s="30" t="str">
        <f>IF(OR(Admin!I26="Pass", Admin!I26=""),
    "",
    IF(Admin!D26="",
        "",
        IF(Admin!C26="M",
            INDEX('Table B-2'!$D$7:$D$30, MATCH(MIN(40, Admin!D26), 'Table B-2'!$C$7:$C$30, 0)),
            IF(Admin!C26="F",
                INDEX('Table B-2'!$F$7:$F$30, MATCH(MIN(40, Admin!D26), 'Table B-2'!$E$7:$E$30, 0)),
                ""
            )
        )
    )
)</f>
        <v/>
      </c>
      <c r="Q26" s="31" t="str">
        <f t="shared" si="1"/>
        <v/>
      </c>
      <c r="R26" s="16"/>
      <c r="S26" s="16"/>
      <c r="T26" s="16"/>
      <c r="U26" s="16"/>
    </row>
    <row r="27" spans="1:21" x14ac:dyDescent="0.25">
      <c r="A27" s="16"/>
      <c r="B27" s="16"/>
      <c r="C27" s="17"/>
      <c r="D27" s="17"/>
      <c r="E27" s="16"/>
      <c r="F27" s="16"/>
      <c r="G27" s="16"/>
      <c r="H27" s="31" t="str">
        <f>IF(OR(Admin!E27="", Admin!D27=""),
    "",
    IF(Admin!C27="M",
        INDEX('Table B-1'!$C$9:$AX$31, MATCH(Admin!E27, 'Table B-1'!$A$9:$A$31, 0), MATCH(MIN(40,Admin!D27), 'Table B-1'!$C$4:$Z$4, 1)),
        IF(Admin!C27="F",
            INDEX('Table B-1'!$AA$9:$AX$31, MATCH(Admin!E27, 'Table B-1'!$A$9:$A$31, 0), MATCH(MIN(40,Admin!D27), 'Table B-1'!$AA$4:$AX$4, 1)),
            ""
        )
    )
)</f>
        <v/>
      </c>
      <c r="I27" s="31" t="str">
        <f t="shared" si="2"/>
        <v/>
      </c>
      <c r="J27" s="16"/>
      <c r="K27" s="16"/>
      <c r="L27" s="16"/>
      <c r="M27" s="29" t="str">
        <f t="shared" si="0"/>
        <v/>
      </c>
      <c r="N27" s="30" t="str">
        <f>IF(OR(Admin!F27="", Admin!M27=""),
    "",
    IF(Admin!C27="M",
        IFERROR(INDEX('Figure B-1 Male'!$C$4:$AJ$164, MATCH(Admin!F27, 'Figure B-1 Male'!$B$4:$B$164, 0), MATCH(Admin!M27, 'Figure B-1 Male'!$C$3:$AJ$3, 1)) / 100, ""),
        IF(Admin!C27="F",
            IFERROR(INDEX('Figure B-2 Female'!$C$4:$AJ$164, MATCH(Admin!F27, 'Figure B-2 Female'!$B$4:$B$164, 0), MATCH(Admin!M27, 'Figure B-2 Female'!$C$3:$AJ$3, 1)) / 100, ""),
            ""
        )
    )
)</f>
        <v/>
      </c>
      <c r="O27" s="33" t="str">
        <f>IF(OR(F27="", M27=""),
    "",
    IF(Admin!C27="M",
        (-26.97 - (0.12 * F27) + (1.99 * M27)) / 100,
        IF(Admin!C27="F",
            (-9.15 - (0.015 * F27) + (1.27 * M27)) / 100,
            ""
        )
    )
)</f>
        <v/>
      </c>
      <c r="P27" s="30" t="str">
        <f>IF(OR(Admin!I27="Pass", Admin!I27=""),
    "",
    IF(Admin!D27="",
        "",
        IF(Admin!C27="M",
            INDEX('Table B-2'!$D$7:$D$30, MATCH(MIN(40, Admin!D27), 'Table B-2'!$C$7:$C$30, 0)),
            IF(Admin!C27="F",
                INDEX('Table B-2'!$F$7:$F$30, MATCH(MIN(40, Admin!D27), 'Table B-2'!$E$7:$E$30, 0)),
                ""
            )
        )
    )
)</f>
        <v/>
      </c>
      <c r="Q27" s="31" t="str">
        <f t="shared" si="1"/>
        <v/>
      </c>
      <c r="R27" s="16"/>
      <c r="S27" s="16"/>
      <c r="T27" s="16"/>
      <c r="U27" s="16"/>
    </row>
    <row r="28" spans="1:21" x14ac:dyDescent="0.25">
      <c r="A28" s="16"/>
      <c r="B28" s="16"/>
      <c r="C28" s="17"/>
      <c r="D28" s="17"/>
      <c r="E28" s="16"/>
      <c r="F28" s="16"/>
      <c r="G28" s="16"/>
      <c r="H28" s="31" t="str">
        <f>IF(OR(Admin!E28="", Admin!D28=""),
    "",
    IF(Admin!C28="M",
        INDEX('Table B-1'!$C$9:$AX$31, MATCH(Admin!E28, 'Table B-1'!$A$9:$A$31, 0), MATCH(MIN(40,Admin!D28), 'Table B-1'!$C$4:$Z$4, 1)),
        IF(Admin!C28="F",
            INDEX('Table B-1'!$AA$9:$AX$31, MATCH(Admin!E28, 'Table B-1'!$A$9:$A$31, 0), MATCH(MIN(40,Admin!D28), 'Table B-1'!$AA$4:$AX$4, 1)),
            ""
        )
    )
)</f>
        <v/>
      </c>
      <c r="I28" s="31" t="str">
        <f t="shared" si="2"/>
        <v/>
      </c>
      <c r="J28" s="16"/>
      <c r="K28" s="16"/>
      <c r="L28" s="16"/>
      <c r="M28" s="29" t="str">
        <f t="shared" si="0"/>
        <v/>
      </c>
      <c r="N28" s="30" t="str">
        <f>IF(OR(Admin!F28="", Admin!M28=""),
    "",
    IF(Admin!C28="M",
        IFERROR(INDEX('Figure B-1 Male'!$C$4:$AJ$164, MATCH(Admin!F28, 'Figure B-1 Male'!$B$4:$B$164, 0), MATCH(Admin!M28, 'Figure B-1 Male'!$C$3:$AJ$3, 1)) / 100, ""),
        IF(Admin!C28="F",
            IFERROR(INDEX('Figure B-2 Female'!$C$4:$AJ$164, MATCH(Admin!F28, 'Figure B-2 Female'!$B$4:$B$164, 0), MATCH(Admin!M28, 'Figure B-2 Female'!$C$3:$AJ$3, 1)) / 100, ""),
            ""
        )
    )
)</f>
        <v/>
      </c>
      <c r="O28" s="33" t="str">
        <f>IF(OR(F28="", M28=""),
    "",
    IF(Admin!C28="M",
        (-26.97 - (0.12 * F28) + (1.99 * M28)) / 100,
        IF(Admin!C28="F",
            (-9.15 - (0.015 * F28) + (1.27 * M28)) / 100,
            ""
        )
    )
)</f>
        <v/>
      </c>
      <c r="P28" s="30" t="str">
        <f>IF(OR(Admin!I28="Pass", Admin!I28=""),
    "",
    IF(Admin!D28="",
        "",
        IF(Admin!C28="M",
            INDEX('Table B-2'!$D$7:$D$30, MATCH(MIN(40, Admin!D28), 'Table B-2'!$C$7:$C$30, 0)),
            IF(Admin!C28="F",
                INDEX('Table B-2'!$F$7:$F$30, MATCH(MIN(40, Admin!D28), 'Table B-2'!$E$7:$E$30, 0)),
                ""
            )
        )
    )
)</f>
        <v/>
      </c>
      <c r="Q28" s="31" t="str">
        <f t="shared" si="1"/>
        <v/>
      </c>
      <c r="R28" s="16"/>
      <c r="S28" s="16"/>
      <c r="T28" s="16"/>
      <c r="U28" s="16"/>
    </row>
    <row r="29" spans="1:21" x14ac:dyDescent="0.25">
      <c r="A29" s="16"/>
      <c r="B29" s="16"/>
      <c r="C29" s="17"/>
      <c r="D29" s="17"/>
      <c r="E29" s="16"/>
      <c r="F29" s="16"/>
      <c r="G29" s="16"/>
      <c r="H29" s="31" t="str">
        <f>IF(OR(Admin!E29="", Admin!D29=""),
    "",
    IF(Admin!C29="M",
        INDEX('Table B-1'!$C$9:$AX$31, MATCH(Admin!E29, 'Table B-1'!$A$9:$A$31, 0), MATCH(MIN(40,Admin!D29), 'Table B-1'!$C$4:$Z$4, 1)),
        IF(Admin!C29="F",
            INDEX('Table B-1'!$AA$9:$AX$31, MATCH(Admin!E29, 'Table B-1'!$A$9:$A$31, 0), MATCH(MIN(40,Admin!D29), 'Table B-1'!$AA$4:$AX$4, 1)),
            ""
        )
    )
)</f>
        <v/>
      </c>
      <c r="I29" s="31" t="str">
        <f t="shared" si="2"/>
        <v/>
      </c>
      <c r="J29" s="16"/>
      <c r="K29" s="16"/>
      <c r="L29" s="16"/>
      <c r="M29" s="29" t="str">
        <f t="shared" si="0"/>
        <v/>
      </c>
      <c r="N29" s="30" t="str">
        <f>IF(OR(Admin!F29="", Admin!M29=""),
    "",
    IF(Admin!C29="M",
        IFERROR(INDEX('Figure B-1 Male'!$C$4:$AJ$164, MATCH(Admin!F29, 'Figure B-1 Male'!$B$4:$B$164, 0), MATCH(Admin!M29, 'Figure B-1 Male'!$C$3:$AJ$3, 1)) / 100, ""),
        IF(Admin!C29="F",
            IFERROR(INDEX('Figure B-2 Female'!$C$4:$AJ$164, MATCH(Admin!F29, 'Figure B-2 Female'!$B$4:$B$164, 0), MATCH(Admin!M29, 'Figure B-2 Female'!$C$3:$AJ$3, 1)) / 100, ""),
            ""
        )
    )
)</f>
        <v/>
      </c>
      <c r="O29" s="33" t="str">
        <f>IF(OR(F29="", M29=""),
    "",
    IF(Admin!C29="M",
        (-26.97 - (0.12 * F29) + (1.99 * M29)) / 100,
        IF(Admin!C29="F",
            (-9.15 - (0.015 * F29) + (1.27 * M29)) / 100,
            ""
        )
    )
)</f>
        <v/>
      </c>
      <c r="P29" s="30" t="str">
        <f>IF(OR(Admin!I29="Pass", Admin!I29=""),
    "",
    IF(Admin!D29="",
        "",
        IF(Admin!C29="M",
            INDEX('Table B-2'!$D$7:$D$30, MATCH(MIN(40, Admin!D29), 'Table B-2'!$C$7:$C$30, 0)),
            IF(Admin!C29="F",
                INDEX('Table B-2'!$F$7:$F$30, MATCH(MIN(40, Admin!D29), 'Table B-2'!$E$7:$E$30, 0)),
                ""
            )
        )
    )
)</f>
        <v/>
      </c>
      <c r="Q29" s="31" t="str">
        <f t="shared" si="1"/>
        <v/>
      </c>
      <c r="R29" s="16"/>
      <c r="S29" s="16"/>
      <c r="T29" s="16"/>
      <c r="U29" s="16"/>
    </row>
    <row r="30" spans="1:21" x14ac:dyDescent="0.25">
      <c r="A30" s="16"/>
      <c r="B30" s="16"/>
      <c r="C30" s="17"/>
      <c r="D30" s="17"/>
      <c r="E30" s="16"/>
      <c r="F30" s="16"/>
      <c r="G30" s="16"/>
      <c r="H30" s="31" t="str">
        <f>IF(OR(Admin!E30="", Admin!D30=""),
    "",
    IF(Admin!C30="M",
        INDEX('Table B-1'!$C$9:$AX$31, MATCH(Admin!E30, 'Table B-1'!$A$9:$A$31, 0), MATCH(MIN(40,Admin!D30), 'Table B-1'!$C$4:$Z$4, 1)),
        IF(Admin!C30="F",
            INDEX('Table B-1'!$AA$9:$AX$31, MATCH(Admin!E30, 'Table B-1'!$A$9:$A$31, 0), MATCH(MIN(40,Admin!D30), 'Table B-1'!$AA$4:$AX$4, 1)),
            ""
        )
    )
)</f>
        <v/>
      </c>
      <c r="I30" s="31" t="str">
        <f t="shared" si="2"/>
        <v/>
      </c>
      <c r="J30" s="16"/>
      <c r="K30" s="16"/>
      <c r="L30" s="16"/>
      <c r="M30" s="29" t="str">
        <f t="shared" si="0"/>
        <v/>
      </c>
      <c r="N30" s="30" t="str">
        <f>IF(OR(Admin!F30="", Admin!M30=""),
    "",
    IF(Admin!C30="M",
        IFERROR(INDEX('Figure B-1 Male'!$C$4:$AJ$164, MATCH(Admin!F30, 'Figure B-1 Male'!$B$4:$B$164, 0), MATCH(Admin!M30, 'Figure B-1 Male'!$C$3:$AJ$3, 1)) / 100, ""),
        IF(Admin!C30="F",
            IFERROR(INDEX('Figure B-2 Female'!$C$4:$AJ$164, MATCH(Admin!F30, 'Figure B-2 Female'!$B$4:$B$164, 0), MATCH(Admin!M30, 'Figure B-2 Female'!$C$3:$AJ$3, 1)) / 100, ""),
            ""
        )
    )
)</f>
        <v/>
      </c>
      <c r="O30" s="33" t="str">
        <f>IF(OR(F30="", M30=""),
    "",
    IF(Admin!C30="M",
        (-26.97 - (0.12 * F30) + (1.99 * M30)) / 100,
        IF(Admin!C30="F",
            (-9.15 - (0.015 * F30) + (1.27 * M30)) / 100,
            ""
        )
    )
)</f>
        <v/>
      </c>
      <c r="P30" s="30" t="str">
        <f>IF(OR(Admin!I30="Pass", Admin!I30=""),
    "",
    IF(Admin!D30="",
        "",
        IF(Admin!C30="M",
            INDEX('Table B-2'!$D$7:$D$30, MATCH(MIN(40, Admin!D30), 'Table B-2'!$C$7:$C$30, 0)),
            IF(Admin!C30="F",
                INDEX('Table B-2'!$F$7:$F$30, MATCH(MIN(40, Admin!D30), 'Table B-2'!$E$7:$E$30, 0)),
                ""
            )
        )
    )
)</f>
        <v/>
      </c>
      <c r="Q30" s="31" t="str">
        <f t="shared" si="1"/>
        <v/>
      </c>
      <c r="R30" s="16"/>
      <c r="S30" s="16"/>
      <c r="T30" s="16"/>
      <c r="U30" s="16"/>
    </row>
    <row r="31" spans="1:21" x14ac:dyDescent="0.25">
      <c r="A31" s="16"/>
      <c r="B31" s="16"/>
      <c r="C31" s="17"/>
      <c r="D31" s="17"/>
      <c r="E31" s="16"/>
      <c r="F31" s="16"/>
      <c r="G31" s="16"/>
      <c r="H31" s="31" t="str">
        <f>IF(OR(Admin!E31="", Admin!D31=""),
    "",
    IF(Admin!C31="M",
        INDEX('Table B-1'!$C$9:$AX$31, MATCH(Admin!E31, 'Table B-1'!$A$9:$A$31, 0), MATCH(MIN(40,Admin!D31), 'Table B-1'!$C$4:$Z$4, 1)),
        IF(Admin!C31="F",
            INDEX('Table B-1'!$AA$9:$AX$31, MATCH(Admin!E31, 'Table B-1'!$A$9:$A$31, 0), MATCH(MIN(40,Admin!D31), 'Table B-1'!$AA$4:$AX$4, 1)),
            ""
        )
    )
)</f>
        <v/>
      </c>
      <c r="I31" s="31" t="str">
        <f t="shared" si="2"/>
        <v/>
      </c>
      <c r="J31" s="16"/>
      <c r="K31" s="16"/>
      <c r="L31" s="16"/>
      <c r="M31" s="29" t="str">
        <f t="shared" si="0"/>
        <v/>
      </c>
      <c r="N31" s="30" t="str">
        <f>IF(OR(Admin!F31="", Admin!M31=""),
    "",
    IF(Admin!C31="M",
        IFERROR(INDEX('Figure B-1 Male'!$C$4:$AJ$164, MATCH(Admin!F31, 'Figure B-1 Male'!$B$4:$B$164, 0), MATCH(Admin!M31, 'Figure B-1 Male'!$C$3:$AJ$3, 1)) / 100, ""),
        IF(Admin!C31="F",
            IFERROR(INDEX('Figure B-2 Female'!$C$4:$AJ$164, MATCH(Admin!F31, 'Figure B-2 Female'!$B$4:$B$164, 0), MATCH(Admin!M31, 'Figure B-2 Female'!$C$3:$AJ$3, 1)) / 100, ""),
            ""
        )
    )
)</f>
        <v/>
      </c>
      <c r="O31" s="33" t="str">
        <f>IF(OR(F31="", M31=""),
    "",
    IF(Admin!C31="M",
        (-26.97 - (0.12 * F31) + (1.99 * M31)) / 100,
        IF(Admin!C31="F",
            (-9.15 - (0.015 * F31) + (1.27 * M31)) / 100,
            ""
        )
    )
)</f>
        <v/>
      </c>
      <c r="P31" s="30" t="str">
        <f>IF(OR(Admin!I31="Pass", Admin!I31=""),
    "",
    IF(Admin!D31="",
        "",
        IF(Admin!C31="M",
            INDEX('Table B-2'!$D$7:$D$30, MATCH(MIN(40, Admin!D31), 'Table B-2'!$C$7:$C$30, 0)),
            IF(Admin!C31="F",
                INDEX('Table B-2'!$F$7:$F$30, MATCH(MIN(40, Admin!D31), 'Table B-2'!$E$7:$E$30, 0)),
                ""
            )
        )
    )
)</f>
        <v/>
      </c>
      <c r="Q31" s="31" t="str">
        <f t="shared" si="1"/>
        <v/>
      </c>
      <c r="R31" s="16"/>
      <c r="S31" s="16"/>
      <c r="T31" s="16"/>
      <c r="U31" s="16"/>
    </row>
    <row r="32" spans="1:21" x14ac:dyDescent="0.25">
      <c r="A32" s="16"/>
      <c r="B32" s="16"/>
      <c r="C32" s="17"/>
      <c r="D32" s="17"/>
      <c r="E32" s="16"/>
      <c r="F32" s="16"/>
      <c r="G32" s="16"/>
      <c r="H32" s="31" t="str">
        <f>IF(OR(Admin!E32="", Admin!D32=""),
    "",
    IF(Admin!C32="M",
        INDEX('Table B-1'!$C$9:$AX$31, MATCH(Admin!E32, 'Table B-1'!$A$9:$A$31, 0), MATCH(MIN(40,Admin!D32), 'Table B-1'!$C$4:$Z$4, 1)),
        IF(Admin!C32="F",
            INDEX('Table B-1'!$AA$9:$AX$31, MATCH(Admin!E32, 'Table B-1'!$A$9:$A$31, 0), MATCH(MIN(40,Admin!D32), 'Table B-1'!$AA$4:$AX$4, 1)),
            ""
        )
    )
)</f>
        <v/>
      </c>
      <c r="I32" s="31" t="str">
        <f t="shared" si="2"/>
        <v/>
      </c>
      <c r="J32" s="16"/>
      <c r="K32" s="16"/>
      <c r="L32" s="16"/>
      <c r="M32" s="29" t="str">
        <f t="shared" si="0"/>
        <v/>
      </c>
      <c r="N32" s="30" t="str">
        <f>IF(OR(Admin!F32="", Admin!M32=""),
    "",
    IF(Admin!C32="M",
        IFERROR(INDEX('Figure B-1 Male'!$C$4:$AJ$164, MATCH(Admin!F32, 'Figure B-1 Male'!$B$4:$B$164, 0), MATCH(Admin!M32, 'Figure B-1 Male'!$C$3:$AJ$3, 1)) / 100, ""),
        IF(Admin!C32="F",
            IFERROR(INDEX('Figure B-2 Female'!$C$4:$AJ$164, MATCH(Admin!F32, 'Figure B-2 Female'!$B$4:$B$164, 0), MATCH(Admin!M32, 'Figure B-2 Female'!$C$3:$AJ$3, 1)) / 100, ""),
            ""
        )
    )
)</f>
        <v/>
      </c>
      <c r="O32" s="33" t="str">
        <f>IF(OR(F32="", M32=""),
    "",
    IF(Admin!C32="M",
        (-26.97 - (0.12 * F32) + (1.99 * M32)) / 100,
        IF(Admin!C32="F",
            (-9.15 - (0.015 * F32) + (1.27 * M32)) / 100,
            ""
        )
    )
)</f>
        <v/>
      </c>
      <c r="P32" s="30" t="str">
        <f>IF(OR(Admin!I32="Pass", Admin!I32=""),
    "",
    IF(Admin!D32="",
        "",
        IF(Admin!C32="M",
            INDEX('Table B-2'!$D$7:$D$30, MATCH(MIN(40, Admin!D32), 'Table B-2'!$C$7:$C$30, 0)),
            IF(Admin!C32="F",
                INDEX('Table B-2'!$F$7:$F$30, MATCH(MIN(40, Admin!D32), 'Table B-2'!$E$7:$E$30, 0)),
                ""
            )
        )
    )
)</f>
        <v/>
      </c>
      <c r="Q32" s="31" t="str">
        <f t="shared" si="1"/>
        <v/>
      </c>
      <c r="R32" s="16"/>
      <c r="S32" s="16"/>
      <c r="T32" s="16"/>
      <c r="U32" s="16"/>
    </row>
    <row r="33" spans="1:21" x14ac:dyDescent="0.25">
      <c r="A33" s="16"/>
      <c r="B33" s="16"/>
      <c r="C33" s="17"/>
      <c r="D33" s="17"/>
      <c r="E33" s="16"/>
      <c r="F33" s="16"/>
      <c r="G33" s="16"/>
      <c r="H33" s="31" t="str">
        <f>IF(OR(Admin!E33="", Admin!D33=""),
    "",
    IF(Admin!C33="M",
        INDEX('Table B-1'!$C$9:$AX$31, MATCH(Admin!E33, 'Table B-1'!$A$9:$A$31, 0), MATCH(MIN(40,Admin!D33), 'Table B-1'!$C$4:$Z$4, 1)),
        IF(Admin!C33="F",
            INDEX('Table B-1'!$AA$9:$AX$31, MATCH(Admin!E33, 'Table B-1'!$A$9:$A$31, 0), MATCH(MIN(40,Admin!D33), 'Table B-1'!$AA$4:$AX$4, 1)),
            ""
        )
    )
)</f>
        <v/>
      </c>
      <c r="I33" s="31" t="str">
        <f t="shared" si="2"/>
        <v/>
      </c>
      <c r="J33" s="16"/>
      <c r="K33" s="16"/>
      <c r="L33" s="16"/>
      <c r="M33" s="29" t="str">
        <f t="shared" si="0"/>
        <v/>
      </c>
      <c r="N33" s="30" t="str">
        <f>IF(OR(Admin!F33="", Admin!M33=""),
    "",
    IF(Admin!C33="M",
        IFERROR(INDEX('Figure B-1 Male'!$C$4:$AJ$164, MATCH(Admin!F33, 'Figure B-1 Male'!$B$4:$B$164, 0), MATCH(Admin!M33, 'Figure B-1 Male'!$C$3:$AJ$3, 1)) / 100, ""),
        IF(Admin!C33="F",
            IFERROR(INDEX('Figure B-2 Female'!$C$4:$AJ$164, MATCH(Admin!F33, 'Figure B-2 Female'!$B$4:$B$164, 0), MATCH(Admin!M33, 'Figure B-2 Female'!$C$3:$AJ$3, 1)) / 100, ""),
            ""
        )
    )
)</f>
        <v/>
      </c>
      <c r="O33" s="33" t="str">
        <f>IF(OR(F33="", M33=""),
    "",
    IF(Admin!C33="M",
        (-26.97 - (0.12 * F33) + (1.99 * M33)) / 100,
        IF(Admin!C33="F",
            (-9.15 - (0.015 * F33) + (1.27 * M33)) / 100,
            ""
        )
    )
)</f>
        <v/>
      </c>
      <c r="P33" s="30" t="str">
        <f>IF(OR(Admin!I33="Pass", Admin!I33=""),
    "",
    IF(Admin!D33="",
        "",
        IF(Admin!C33="M",
            INDEX('Table B-2'!$D$7:$D$30, MATCH(MIN(40, Admin!D33), 'Table B-2'!$C$7:$C$30, 0)),
            IF(Admin!C33="F",
                INDEX('Table B-2'!$F$7:$F$30, MATCH(MIN(40, Admin!D33), 'Table B-2'!$E$7:$E$30, 0)),
                ""
            )
        )
    )
)</f>
        <v/>
      </c>
      <c r="Q33" s="31" t="str">
        <f t="shared" si="1"/>
        <v/>
      </c>
      <c r="R33" s="16"/>
      <c r="S33" s="16"/>
      <c r="T33" s="16"/>
      <c r="U33" s="16"/>
    </row>
    <row r="34" spans="1:21" x14ac:dyDescent="0.25">
      <c r="A34" s="16"/>
      <c r="B34" s="16"/>
      <c r="C34" s="17"/>
      <c r="D34" s="17"/>
      <c r="E34" s="16"/>
      <c r="F34" s="16"/>
      <c r="G34" s="16"/>
      <c r="H34" s="31" t="str">
        <f>IF(OR(Admin!E34="", Admin!D34=""),
    "",
    IF(Admin!C34="M",
        INDEX('Table B-1'!$C$9:$AX$31, MATCH(Admin!E34, 'Table B-1'!$A$9:$A$31, 0), MATCH(MIN(40,Admin!D34), 'Table B-1'!$C$4:$Z$4, 1)),
        IF(Admin!C34="F",
            INDEX('Table B-1'!$AA$9:$AX$31, MATCH(Admin!E34, 'Table B-1'!$A$9:$A$31, 0), MATCH(MIN(40,Admin!D34), 'Table B-1'!$AA$4:$AX$4, 1)),
            ""
        )
    )
)</f>
        <v/>
      </c>
      <c r="I34" s="31" t="str">
        <f t="shared" si="2"/>
        <v/>
      </c>
      <c r="J34" s="16"/>
      <c r="K34" s="16"/>
      <c r="L34" s="16"/>
      <c r="M34" s="29" t="str">
        <f t="shared" si="0"/>
        <v/>
      </c>
      <c r="N34" s="30" t="str">
        <f>IF(OR(Admin!F34="", Admin!M34=""),
    "",
    IF(Admin!C34="M",
        IFERROR(INDEX('Figure B-1 Male'!$C$4:$AJ$164, MATCH(Admin!F34, 'Figure B-1 Male'!$B$4:$B$164, 0), MATCH(Admin!M34, 'Figure B-1 Male'!$C$3:$AJ$3, 1)) / 100, ""),
        IF(Admin!C34="F",
            IFERROR(INDEX('Figure B-2 Female'!$C$4:$AJ$164, MATCH(Admin!F34, 'Figure B-2 Female'!$B$4:$B$164, 0), MATCH(Admin!M34, 'Figure B-2 Female'!$C$3:$AJ$3, 1)) / 100, ""),
            ""
        )
    )
)</f>
        <v/>
      </c>
      <c r="O34" s="33" t="str">
        <f>IF(OR(F34="", M34=""),
    "",
    IF(Admin!C34="M",
        (-26.97 - (0.12 * F34) + (1.99 * M34)) / 100,
        IF(Admin!C34="F",
            (-9.15 - (0.015 * F34) + (1.27 * M34)) / 100,
            ""
        )
    )
)</f>
        <v/>
      </c>
      <c r="P34" s="30" t="str">
        <f>IF(OR(Admin!I34="Pass", Admin!I34=""),
    "",
    IF(Admin!D34="",
        "",
        IF(Admin!C34="M",
            INDEX('Table B-2'!$D$7:$D$30, MATCH(MIN(40, Admin!D34), 'Table B-2'!$C$7:$C$30, 0)),
            IF(Admin!C34="F",
                INDEX('Table B-2'!$F$7:$F$30, MATCH(MIN(40, Admin!D34), 'Table B-2'!$E$7:$E$30, 0)),
                ""
            )
        )
    )
)</f>
        <v/>
      </c>
      <c r="Q34" s="31" t="str">
        <f t="shared" si="1"/>
        <v/>
      </c>
      <c r="R34" s="16"/>
      <c r="S34" s="16"/>
      <c r="T34" s="16"/>
      <c r="U34" s="16"/>
    </row>
    <row r="35" spans="1:21" x14ac:dyDescent="0.25">
      <c r="A35" s="16"/>
      <c r="B35" s="16"/>
      <c r="C35" s="17"/>
      <c r="D35" s="17"/>
      <c r="E35" s="16"/>
      <c r="F35" s="16"/>
      <c r="G35" s="16"/>
      <c r="H35" s="31" t="str">
        <f>IF(OR(Admin!E35="", Admin!D35=""),
    "",
    IF(Admin!C35="M",
        INDEX('Table B-1'!$C$9:$AX$31, MATCH(Admin!E35, 'Table B-1'!$A$9:$A$31, 0), MATCH(MIN(40,Admin!D35), 'Table B-1'!$C$4:$Z$4, 1)),
        IF(Admin!C35="F",
            INDEX('Table B-1'!$AA$9:$AX$31, MATCH(Admin!E35, 'Table B-1'!$A$9:$A$31, 0), MATCH(MIN(40,Admin!D35), 'Table B-1'!$AA$4:$AX$4, 1)),
            ""
        )
    )
)</f>
        <v/>
      </c>
      <c r="I35" s="31" t="str">
        <f t="shared" si="2"/>
        <v/>
      </c>
      <c r="J35" s="16"/>
      <c r="K35" s="16"/>
      <c r="L35" s="16"/>
      <c r="M35" s="29" t="str">
        <f t="shared" si="0"/>
        <v/>
      </c>
      <c r="N35" s="30" t="str">
        <f>IF(OR(Admin!F35="", Admin!M35=""),
    "",
    IF(Admin!C35="M",
        IFERROR(INDEX('Figure B-1 Male'!$C$4:$AJ$164, MATCH(Admin!F35, 'Figure B-1 Male'!$B$4:$B$164, 0), MATCH(Admin!M35, 'Figure B-1 Male'!$C$3:$AJ$3, 1)) / 100, ""),
        IF(Admin!C35="F",
            IFERROR(INDEX('Figure B-2 Female'!$C$4:$AJ$164, MATCH(Admin!F35, 'Figure B-2 Female'!$B$4:$B$164, 0), MATCH(Admin!M35, 'Figure B-2 Female'!$C$3:$AJ$3, 1)) / 100, ""),
            ""
        )
    )
)</f>
        <v/>
      </c>
      <c r="O35" s="33" t="str">
        <f>IF(OR(F35="", M35=""),
    "",
    IF(Admin!C35="M",
        (-26.97 - (0.12 * F35) + (1.99 * M35)) / 100,
        IF(Admin!C35="F",
            (-9.15 - (0.015 * F35) + (1.27 * M35)) / 100,
            ""
        )
    )
)</f>
        <v/>
      </c>
      <c r="P35" s="30" t="str">
        <f>IF(OR(Admin!I35="Pass", Admin!I35=""),
    "",
    IF(Admin!D35="",
        "",
        IF(Admin!C35="M",
            INDEX('Table B-2'!$D$7:$D$30, MATCH(MIN(40, Admin!D35), 'Table B-2'!$C$7:$C$30, 0)),
            IF(Admin!C35="F",
                INDEX('Table B-2'!$F$7:$F$30, MATCH(MIN(40, Admin!D35), 'Table B-2'!$E$7:$E$30, 0)),
                ""
            )
        )
    )
)</f>
        <v/>
      </c>
      <c r="Q35" s="31" t="str">
        <f t="shared" si="1"/>
        <v/>
      </c>
      <c r="R35" s="16"/>
      <c r="S35" s="16"/>
      <c r="T35" s="16"/>
      <c r="U35" s="16"/>
    </row>
    <row r="36" spans="1:21" x14ac:dyDescent="0.25">
      <c r="A36" s="16"/>
      <c r="B36" s="16"/>
      <c r="C36" s="17"/>
      <c r="D36" s="17"/>
      <c r="E36" s="16"/>
      <c r="F36" s="16"/>
      <c r="G36" s="16"/>
      <c r="H36" s="31" t="str">
        <f>IF(OR(Admin!E36="", Admin!D36=""),
    "",
    IF(Admin!C36="M",
        INDEX('Table B-1'!$C$9:$AX$31, MATCH(Admin!E36, 'Table B-1'!$A$9:$A$31, 0), MATCH(MIN(40,Admin!D36), 'Table B-1'!$C$4:$Z$4, 1)),
        IF(Admin!C36="F",
            INDEX('Table B-1'!$AA$9:$AX$31, MATCH(Admin!E36, 'Table B-1'!$A$9:$A$31, 0), MATCH(MIN(40,Admin!D36), 'Table B-1'!$AA$4:$AX$4, 1)),
            ""
        )
    )
)</f>
        <v/>
      </c>
      <c r="I36" s="31" t="str">
        <f t="shared" si="2"/>
        <v/>
      </c>
      <c r="J36" s="16"/>
      <c r="K36" s="16"/>
      <c r="L36" s="16"/>
      <c r="M36" s="29" t="str">
        <f t="shared" si="0"/>
        <v/>
      </c>
      <c r="N36" s="30" t="str">
        <f>IF(OR(Admin!F36="", Admin!M36=""),
    "",
    IF(Admin!C36="M",
        IFERROR(INDEX('Figure B-1 Male'!$C$4:$AJ$164, MATCH(Admin!F36, 'Figure B-1 Male'!$B$4:$B$164, 0), MATCH(Admin!M36, 'Figure B-1 Male'!$C$3:$AJ$3, 1)) / 100, ""),
        IF(Admin!C36="F",
            IFERROR(INDEX('Figure B-2 Female'!$C$4:$AJ$164, MATCH(Admin!F36, 'Figure B-2 Female'!$B$4:$B$164, 0), MATCH(Admin!M36, 'Figure B-2 Female'!$C$3:$AJ$3, 1)) / 100, ""),
            ""
        )
    )
)</f>
        <v/>
      </c>
      <c r="O36" s="33" t="str">
        <f>IF(OR(F36="", M36=""),
    "",
    IF(Admin!C36="M",
        (-26.97 - (0.12 * F36) + (1.99 * M36)) / 100,
        IF(Admin!C36="F",
            (-9.15 - (0.015 * F36) + (1.27 * M36)) / 100,
            ""
        )
    )
)</f>
        <v/>
      </c>
      <c r="P36" s="30" t="str">
        <f>IF(OR(Admin!I36="Pass", Admin!I36=""),
    "",
    IF(Admin!D36="",
        "",
        IF(Admin!C36="M",
            INDEX('Table B-2'!$D$7:$D$30, MATCH(MIN(40, Admin!D36), 'Table B-2'!$C$7:$C$30, 0)),
            IF(Admin!C36="F",
                INDEX('Table B-2'!$F$7:$F$30, MATCH(MIN(40, Admin!D36), 'Table B-2'!$E$7:$E$30, 0)),
                ""
            )
        )
    )
)</f>
        <v/>
      </c>
      <c r="Q36" s="31" t="str">
        <f t="shared" si="1"/>
        <v/>
      </c>
      <c r="R36" s="16"/>
      <c r="S36" s="16"/>
      <c r="T36" s="16"/>
      <c r="U36" s="16"/>
    </row>
    <row r="37" spans="1:21" x14ac:dyDescent="0.25">
      <c r="A37" s="16"/>
      <c r="B37" s="16"/>
      <c r="C37" s="17"/>
      <c r="D37" s="17"/>
      <c r="E37" s="16"/>
      <c r="F37" s="16"/>
      <c r="G37" s="16"/>
      <c r="H37" s="31" t="str">
        <f>IF(OR(Admin!E37="", Admin!D37=""),
    "",
    IF(Admin!C37="M",
        INDEX('Table B-1'!$C$9:$AX$31, MATCH(Admin!E37, 'Table B-1'!$A$9:$A$31, 0), MATCH(MIN(40,Admin!D37), 'Table B-1'!$C$4:$Z$4, 1)),
        IF(Admin!C37="F",
            INDEX('Table B-1'!$AA$9:$AX$31, MATCH(Admin!E37, 'Table B-1'!$A$9:$A$31, 0), MATCH(MIN(40,Admin!D37), 'Table B-1'!$AA$4:$AX$4, 1)),
            ""
        )
    )
)</f>
        <v/>
      </c>
      <c r="I37" s="31" t="str">
        <f t="shared" si="2"/>
        <v/>
      </c>
      <c r="J37" s="16"/>
      <c r="K37" s="16"/>
      <c r="L37" s="16"/>
      <c r="M37" s="29" t="str">
        <f t="shared" si="0"/>
        <v/>
      </c>
      <c r="N37" s="30" t="str">
        <f>IF(OR(Admin!F37="", Admin!M37=""),
    "",
    IF(Admin!C37="M",
        IFERROR(INDEX('Figure B-1 Male'!$C$4:$AJ$164, MATCH(Admin!F37, 'Figure B-1 Male'!$B$4:$B$164, 0), MATCH(Admin!M37, 'Figure B-1 Male'!$C$3:$AJ$3, 1)) / 100, ""),
        IF(Admin!C37="F",
            IFERROR(INDEX('Figure B-2 Female'!$C$4:$AJ$164, MATCH(Admin!F37, 'Figure B-2 Female'!$B$4:$B$164, 0), MATCH(Admin!M37, 'Figure B-2 Female'!$C$3:$AJ$3, 1)) / 100, ""),
            ""
        )
    )
)</f>
        <v/>
      </c>
      <c r="O37" s="33" t="str">
        <f>IF(OR(F37="", M37=""),
    "",
    IF(Admin!C37="M",
        (-26.97 - (0.12 * F37) + (1.99 * M37)) / 100,
        IF(Admin!C37="F",
            (-9.15 - (0.015 * F37) + (1.27 * M37)) / 100,
            ""
        )
    )
)</f>
        <v/>
      </c>
      <c r="P37" s="30" t="str">
        <f>IF(OR(Admin!I37="Pass", Admin!I37=""),
    "",
    IF(Admin!D37="",
        "",
        IF(Admin!C37="M",
            INDEX('Table B-2'!$D$7:$D$30, MATCH(MIN(40, Admin!D37), 'Table B-2'!$C$7:$C$30, 0)),
            IF(Admin!C37="F",
                INDEX('Table B-2'!$F$7:$F$30, MATCH(MIN(40, Admin!D37), 'Table B-2'!$E$7:$E$30, 0)),
                ""
            )
        )
    )
)</f>
        <v/>
      </c>
      <c r="Q37" s="31" t="str">
        <f t="shared" si="1"/>
        <v/>
      </c>
      <c r="R37" s="16"/>
      <c r="S37" s="16"/>
      <c r="T37" s="16"/>
      <c r="U37" s="16"/>
    </row>
    <row r="38" spans="1:21" x14ac:dyDescent="0.25">
      <c r="A38" s="16"/>
      <c r="B38" s="16"/>
      <c r="C38" s="17"/>
      <c r="D38" s="17"/>
      <c r="E38" s="16"/>
      <c r="F38" s="16"/>
      <c r="G38" s="16"/>
      <c r="H38" s="31" t="str">
        <f>IF(OR(Admin!E38="", Admin!D38=""),
    "",
    IF(Admin!C38="M",
        INDEX('Table B-1'!$C$9:$AX$31, MATCH(Admin!E38, 'Table B-1'!$A$9:$A$31, 0), MATCH(MIN(40,Admin!D38), 'Table B-1'!$C$4:$Z$4, 1)),
        IF(Admin!C38="F",
            INDEX('Table B-1'!$AA$9:$AX$31, MATCH(Admin!E38, 'Table B-1'!$A$9:$A$31, 0), MATCH(MIN(40,Admin!D38), 'Table B-1'!$AA$4:$AX$4, 1)),
            ""
        )
    )
)</f>
        <v/>
      </c>
      <c r="I38" s="31" t="str">
        <f t="shared" si="2"/>
        <v/>
      </c>
      <c r="J38" s="16"/>
      <c r="K38" s="16"/>
      <c r="L38" s="16"/>
      <c r="M38" s="29" t="str">
        <f t="shared" si="0"/>
        <v/>
      </c>
      <c r="N38" s="30" t="str">
        <f>IF(OR(Admin!F38="", Admin!M38=""),
    "",
    IF(Admin!C38="M",
        IFERROR(INDEX('Figure B-1 Male'!$C$4:$AJ$164, MATCH(Admin!F38, 'Figure B-1 Male'!$B$4:$B$164, 0), MATCH(Admin!M38, 'Figure B-1 Male'!$C$3:$AJ$3, 1)) / 100, ""),
        IF(Admin!C38="F",
            IFERROR(INDEX('Figure B-2 Female'!$C$4:$AJ$164, MATCH(Admin!F38, 'Figure B-2 Female'!$B$4:$B$164, 0), MATCH(Admin!M38, 'Figure B-2 Female'!$C$3:$AJ$3, 1)) / 100, ""),
            ""
        )
    )
)</f>
        <v/>
      </c>
      <c r="O38" s="33" t="str">
        <f>IF(OR(F38="", M38=""),
    "",
    IF(Admin!C38="M",
        (-26.97 - (0.12 * F38) + (1.99 * M38)) / 100,
        IF(Admin!C38="F",
            (-9.15 - (0.015 * F38) + (1.27 * M38)) / 100,
            ""
        )
    )
)</f>
        <v/>
      </c>
      <c r="P38" s="30" t="str">
        <f>IF(OR(Admin!I38="Pass", Admin!I38=""),
    "",
    IF(Admin!D38="",
        "",
        IF(Admin!C38="M",
            INDEX('Table B-2'!$D$7:$D$30, MATCH(MIN(40, Admin!D38), 'Table B-2'!$C$7:$C$30, 0)),
            IF(Admin!C38="F",
                INDEX('Table B-2'!$F$7:$F$30, MATCH(MIN(40, Admin!D38), 'Table B-2'!$E$7:$E$30, 0)),
                ""
            )
        )
    )
)</f>
        <v/>
      </c>
      <c r="Q38" s="31" t="str">
        <f t="shared" si="1"/>
        <v/>
      </c>
      <c r="R38" s="16"/>
      <c r="S38" s="16"/>
      <c r="T38" s="16"/>
      <c r="U38" s="16"/>
    </row>
    <row r="39" spans="1:21" x14ac:dyDescent="0.25">
      <c r="A39" s="16"/>
      <c r="B39" s="16"/>
      <c r="C39" s="17"/>
      <c r="D39" s="17"/>
      <c r="E39" s="16"/>
      <c r="F39" s="16"/>
      <c r="G39" s="16"/>
      <c r="H39" s="31" t="str">
        <f>IF(OR(Admin!E39="", Admin!D39=""),
    "",
    IF(Admin!C39="M",
        INDEX('Table B-1'!$C$9:$AX$31, MATCH(Admin!E39, 'Table B-1'!$A$9:$A$31, 0), MATCH(MIN(40,Admin!D39), 'Table B-1'!$C$4:$Z$4, 1)),
        IF(Admin!C39="F",
            INDEX('Table B-1'!$AA$9:$AX$31, MATCH(Admin!E39, 'Table B-1'!$A$9:$A$31, 0), MATCH(MIN(40,Admin!D39), 'Table B-1'!$AA$4:$AX$4, 1)),
            ""
        )
    )
)</f>
        <v/>
      </c>
      <c r="I39" s="31" t="str">
        <f t="shared" si="2"/>
        <v/>
      </c>
      <c r="J39" s="16"/>
      <c r="K39" s="16"/>
      <c r="L39" s="16"/>
      <c r="M39" s="29" t="str">
        <f t="shared" si="0"/>
        <v/>
      </c>
      <c r="N39" s="30" t="str">
        <f>IF(OR(Admin!F39="", Admin!M39=""),
    "",
    IF(Admin!C39="M",
        IFERROR(INDEX('Figure B-1 Male'!$C$4:$AJ$164, MATCH(Admin!F39, 'Figure B-1 Male'!$B$4:$B$164, 0), MATCH(Admin!M39, 'Figure B-1 Male'!$C$3:$AJ$3, 1)) / 100, ""),
        IF(Admin!C39="F",
            IFERROR(INDEX('Figure B-2 Female'!$C$4:$AJ$164, MATCH(Admin!F39, 'Figure B-2 Female'!$B$4:$B$164, 0), MATCH(Admin!M39, 'Figure B-2 Female'!$C$3:$AJ$3, 1)) / 100, ""),
            ""
        )
    )
)</f>
        <v/>
      </c>
      <c r="O39" s="33" t="str">
        <f>IF(OR(F39="", M39=""),
    "",
    IF(Admin!C39="M",
        (-26.97 - (0.12 * F39) + (1.99 * M39)) / 100,
        IF(Admin!C39="F",
            (-9.15 - (0.015 * F39) + (1.27 * M39)) / 100,
            ""
        )
    )
)</f>
        <v/>
      </c>
      <c r="P39" s="30" t="str">
        <f>IF(OR(Admin!I39="Pass", Admin!I39=""),
    "",
    IF(Admin!D39="",
        "",
        IF(Admin!C39="M",
            INDEX('Table B-2'!$D$7:$D$30, MATCH(MIN(40, Admin!D39), 'Table B-2'!$C$7:$C$30, 0)),
            IF(Admin!C39="F",
                INDEX('Table B-2'!$F$7:$F$30, MATCH(MIN(40, Admin!D39), 'Table B-2'!$E$7:$E$30, 0)),
                ""
            )
        )
    )
)</f>
        <v/>
      </c>
      <c r="Q39" s="31" t="str">
        <f t="shared" si="1"/>
        <v/>
      </c>
      <c r="R39" s="16"/>
      <c r="S39" s="16"/>
      <c r="T39" s="16"/>
      <c r="U39" s="16"/>
    </row>
    <row r="40" spans="1:21" x14ac:dyDescent="0.25">
      <c r="A40" s="16"/>
      <c r="B40" s="16"/>
      <c r="C40" s="17"/>
      <c r="D40" s="17"/>
      <c r="E40" s="16"/>
      <c r="F40" s="16"/>
      <c r="G40" s="16"/>
      <c r="H40" s="31" t="str">
        <f>IF(OR(Admin!E40="", Admin!D40=""),
    "",
    IF(Admin!C40="M",
        INDEX('Table B-1'!$C$9:$AX$31, MATCH(Admin!E40, 'Table B-1'!$A$9:$A$31, 0), MATCH(MIN(40,Admin!D40), 'Table B-1'!$C$4:$Z$4, 1)),
        IF(Admin!C40="F",
            INDEX('Table B-1'!$AA$9:$AX$31, MATCH(Admin!E40, 'Table B-1'!$A$9:$A$31, 0), MATCH(MIN(40,Admin!D40), 'Table B-1'!$AA$4:$AX$4, 1)),
            ""
        )
    )
)</f>
        <v/>
      </c>
      <c r="I40" s="31" t="str">
        <f t="shared" si="2"/>
        <v/>
      </c>
      <c r="J40" s="16"/>
      <c r="K40" s="16"/>
      <c r="L40" s="16"/>
      <c r="M40" s="29" t="str">
        <f t="shared" si="0"/>
        <v/>
      </c>
      <c r="N40" s="30" t="str">
        <f>IF(OR(Admin!F40="", Admin!M40=""),
    "",
    IF(Admin!C40="M",
        IFERROR(INDEX('Figure B-1 Male'!$C$4:$AJ$164, MATCH(Admin!F40, 'Figure B-1 Male'!$B$4:$B$164, 0), MATCH(Admin!M40, 'Figure B-1 Male'!$C$3:$AJ$3, 1)) / 100, ""),
        IF(Admin!C40="F",
            IFERROR(INDEX('Figure B-2 Female'!$C$4:$AJ$164, MATCH(Admin!F40, 'Figure B-2 Female'!$B$4:$B$164, 0), MATCH(Admin!M40, 'Figure B-2 Female'!$C$3:$AJ$3, 1)) / 100, ""),
            ""
        )
    )
)</f>
        <v/>
      </c>
      <c r="O40" s="33" t="str">
        <f>IF(OR(F40="", M40=""),
    "",
    IF(Admin!C40="M",
        (-26.97 - (0.12 * F40) + (1.99 * M40)) / 100,
        IF(Admin!C40="F",
            (-9.15 - (0.015 * F40) + (1.27 * M40)) / 100,
            ""
        )
    )
)</f>
        <v/>
      </c>
      <c r="P40" s="30" t="str">
        <f>IF(OR(Admin!I40="Pass", Admin!I40=""),
    "",
    IF(Admin!D40="",
        "",
        IF(Admin!C40="M",
            INDEX('Table B-2'!$D$7:$D$30, MATCH(MIN(40, Admin!D40), 'Table B-2'!$C$7:$C$30, 0)),
            IF(Admin!C40="F",
                INDEX('Table B-2'!$F$7:$F$30, MATCH(MIN(40, Admin!D40), 'Table B-2'!$E$7:$E$30, 0)),
                ""
            )
        )
    )
)</f>
        <v/>
      </c>
      <c r="Q40" s="31" t="str">
        <f t="shared" si="1"/>
        <v/>
      </c>
      <c r="R40" s="16"/>
      <c r="S40" s="16"/>
      <c r="T40" s="16"/>
      <c r="U40" s="16"/>
    </row>
    <row r="41" spans="1:21" x14ac:dyDescent="0.25">
      <c r="A41" s="16"/>
      <c r="B41" s="16"/>
      <c r="C41" s="17"/>
      <c r="D41" s="17"/>
      <c r="E41" s="16"/>
      <c r="F41" s="16"/>
      <c r="G41" s="16"/>
      <c r="H41" s="31" t="str">
        <f>IF(OR(Admin!E41="", Admin!D41=""),
    "",
    IF(Admin!C41="M",
        INDEX('Table B-1'!$C$9:$AX$31, MATCH(Admin!E41, 'Table B-1'!$A$9:$A$31, 0), MATCH(MIN(40,Admin!D41), 'Table B-1'!$C$4:$Z$4, 1)),
        IF(Admin!C41="F",
            INDEX('Table B-1'!$AA$9:$AX$31, MATCH(Admin!E41, 'Table B-1'!$A$9:$A$31, 0), MATCH(MIN(40,Admin!D41), 'Table B-1'!$AA$4:$AX$4, 1)),
            ""
        )
    )
)</f>
        <v/>
      </c>
      <c r="I41" s="31" t="str">
        <f t="shared" si="2"/>
        <v/>
      </c>
      <c r="J41" s="16"/>
      <c r="K41" s="16"/>
      <c r="L41" s="16"/>
      <c r="M41" s="29" t="str">
        <f t="shared" si="0"/>
        <v/>
      </c>
      <c r="N41" s="30" t="str">
        <f>IF(OR(Admin!F41="", Admin!M41=""),
    "",
    IF(Admin!C41="M",
        IFERROR(INDEX('Figure B-1 Male'!$C$4:$AJ$164, MATCH(Admin!F41, 'Figure B-1 Male'!$B$4:$B$164, 0), MATCH(Admin!M41, 'Figure B-1 Male'!$C$3:$AJ$3, 1)) / 100, ""),
        IF(Admin!C41="F",
            IFERROR(INDEX('Figure B-2 Female'!$C$4:$AJ$164, MATCH(Admin!F41, 'Figure B-2 Female'!$B$4:$B$164, 0), MATCH(Admin!M41, 'Figure B-2 Female'!$C$3:$AJ$3, 1)) / 100, ""),
            ""
        )
    )
)</f>
        <v/>
      </c>
      <c r="O41" s="33" t="str">
        <f>IF(OR(F41="", M41=""),
    "",
    IF(Admin!C41="M",
        (-26.97 - (0.12 * F41) + (1.99 * M41)) / 100,
        IF(Admin!C41="F",
            (-9.15 - (0.015 * F41) + (1.27 * M41)) / 100,
            ""
        )
    )
)</f>
        <v/>
      </c>
      <c r="P41" s="30" t="str">
        <f>IF(OR(Admin!I41="Pass", Admin!I41=""),
    "",
    IF(Admin!D41="",
        "",
        IF(Admin!C41="M",
            INDEX('Table B-2'!$D$7:$D$30, MATCH(MIN(40, Admin!D41), 'Table B-2'!$C$7:$C$30, 0)),
            IF(Admin!C41="F",
                INDEX('Table B-2'!$F$7:$F$30, MATCH(MIN(40, Admin!D41), 'Table B-2'!$E$7:$E$30, 0)),
                ""
            )
        )
    )
)</f>
        <v/>
      </c>
      <c r="Q41" s="31" t="str">
        <f t="shared" si="1"/>
        <v/>
      </c>
      <c r="R41" s="16"/>
      <c r="S41" s="16"/>
      <c r="T41" s="16"/>
      <c r="U41" s="16"/>
    </row>
    <row r="42" spans="1:21" x14ac:dyDescent="0.25">
      <c r="A42" s="16"/>
      <c r="B42" s="16"/>
      <c r="C42" s="17"/>
      <c r="D42" s="17"/>
      <c r="E42" s="16"/>
      <c r="F42" s="16"/>
      <c r="G42" s="16"/>
      <c r="H42" s="31" t="str">
        <f>IF(OR(Admin!E42="", Admin!D42=""),
    "",
    IF(Admin!C42="M",
        INDEX('Table B-1'!$C$9:$AX$31, MATCH(Admin!E42, 'Table B-1'!$A$9:$A$31, 0), MATCH(MIN(40,Admin!D42), 'Table B-1'!$C$4:$Z$4, 1)),
        IF(Admin!C42="F",
            INDEX('Table B-1'!$AA$9:$AX$31, MATCH(Admin!E42, 'Table B-1'!$A$9:$A$31, 0), MATCH(MIN(40,Admin!D42), 'Table B-1'!$AA$4:$AX$4, 1)),
            ""
        )
    )
)</f>
        <v/>
      </c>
      <c r="I42" s="31" t="str">
        <f t="shared" si="2"/>
        <v/>
      </c>
      <c r="J42" s="16"/>
      <c r="K42" s="16"/>
      <c r="L42" s="16"/>
      <c r="M42" s="29" t="str">
        <f t="shared" si="0"/>
        <v/>
      </c>
      <c r="N42" s="30" t="str">
        <f>IF(OR(Admin!F42="", Admin!M42=""),
    "",
    IF(Admin!C42="M",
        IFERROR(INDEX('Figure B-1 Male'!$C$4:$AJ$164, MATCH(Admin!F42, 'Figure B-1 Male'!$B$4:$B$164, 0), MATCH(Admin!M42, 'Figure B-1 Male'!$C$3:$AJ$3, 1)) / 100, ""),
        IF(Admin!C42="F",
            IFERROR(INDEX('Figure B-2 Female'!$C$4:$AJ$164, MATCH(Admin!F42, 'Figure B-2 Female'!$B$4:$B$164, 0), MATCH(Admin!M42, 'Figure B-2 Female'!$C$3:$AJ$3, 1)) / 100, ""),
            ""
        )
    )
)</f>
        <v/>
      </c>
      <c r="O42" s="33" t="str">
        <f>IF(OR(F42="", M42=""),
    "",
    IF(Admin!C42="M",
        (-26.97 - (0.12 * F42) + (1.99 * M42)) / 100,
        IF(Admin!C42="F",
            (-9.15 - (0.015 * F42) + (1.27 * M42)) / 100,
            ""
        )
    )
)</f>
        <v/>
      </c>
      <c r="P42" s="30" t="str">
        <f>IF(OR(Admin!I42="Pass", Admin!I42=""),
    "",
    IF(Admin!D42="",
        "",
        IF(Admin!C42="M",
            INDEX('Table B-2'!$D$7:$D$30, MATCH(MIN(40, Admin!D42), 'Table B-2'!$C$7:$C$30, 0)),
            IF(Admin!C42="F",
                INDEX('Table B-2'!$F$7:$F$30, MATCH(MIN(40, Admin!D42), 'Table B-2'!$E$7:$E$30, 0)),
                ""
            )
        )
    )
)</f>
        <v/>
      </c>
      <c r="Q42" s="31" t="str">
        <f t="shared" si="1"/>
        <v/>
      </c>
      <c r="R42" s="16"/>
      <c r="S42" s="16"/>
      <c r="T42" s="16"/>
      <c r="U42" s="16"/>
    </row>
    <row r="43" spans="1:21" x14ac:dyDescent="0.25">
      <c r="A43" s="16"/>
      <c r="B43" s="16"/>
      <c r="C43" s="17"/>
      <c r="D43" s="17"/>
      <c r="E43" s="16"/>
      <c r="F43" s="16"/>
      <c r="G43" s="16"/>
      <c r="H43" s="31" t="str">
        <f>IF(OR(Admin!E43="", Admin!D43=""),
    "",
    IF(Admin!C43="M",
        INDEX('Table B-1'!$C$9:$AX$31, MATCH(Admin!E43, 'Table B-1'!$A$9:$A$31, 0), MATCH(MIN(40,Admin!D43), 'Table B-1'!$C$4:$Z$4, 1)),
        IF(Admin!C43="F",
            INDEX('Table B-1'!$AA$9:$AX$31, MATCH(Admin!E43, 'Table B-1'!$A$9:$A$31, 0), MATCH(MIN(40,Admin!D43), 'Table B-1'!$AA$4:$AX$4, 1)),
            ""
        )
    )
)</f>
        <v/>
      </c>
      <c r="I43" s="31" t="str">
        <f t="shared" si="2"/>
        <v/>
      </c>
      <c r="J43" s="16"/>
      <c r="K43" s="16"/>
      <c r="L43" s="16"/>
      <c r="M43" s="29" t="str">
        <f t="shared" si="0"/>
        <v/>
      </c>
      <c r="N43" s="30" t="str">
        <f>IF(OR(Admin!F43="", Admin!M43=""),
    "",
    IF(Admin!C43="M",
        IFERROR(INDEX('Figure B-1 Male'!$C$4:$AJ$164, MATCH(Admin!F43, 'Figure B-1 Male'!$B$4:$B$164, 0), MATCH(Admin!M43, 'Figure B-1 Male'!$C$3:$AJ$3, 1)) / 100, ""),
        IF(Admin!C43="F",
            IFERROR(INDEX('Figure B-2 Female'!$C$4:$AJ$164, MATCH(Admin!F43, 'Figure B-2 Female'!$B$4:$B$164, 0), MATCH(Admin!M43, 'Figure B-2 Female'!$C$3:$AJ$3, 1)) / 100, ""),
            ""
        )
    )
)</f>
        <v/>
      </c>
      <c r="O43" s="33" t="str">
        <f>IF(OR(F43="", M43=""),
    "",
    IF(Admin!C43="M",
        (-26.97 - (0.12 * F43) + (1.99 * M43)) / 100,
        IF(Admin!C43="F",
            (-9.15 - (0.015 * F43) + (1.27 * M43)) / 100,
            ""
        )
    )
)</f>
        <v/>
      </c>
      <c r="P43" s="30" t="str">
        <f>IF(OR(Admin!I43="Pass", Admin!I43=""),
    "",
    IF(Admin!D43="",
        "",
        IF(Admin!C43="M",
            INDEX('Table B-2'!$D$7:$D$30, MATCH(MIN(40, Admin!D43), 'Table B-2'!$C$7:$C$30, 0)),
            IF(Admin!C43="F",
                INDEX('Table B-2'!$F$7:$F$30, MATCH(MIN(40, Admin!D43), 'Table B-2'!$E$7:$E$30, 0)),
                ""
            )
        )
    )
)</f>
        <v/>
      </c>
      <c r="Q43" s="31" t="str">
        <f t="shared" si="1"/>
        <v/>
      </c>
      <c r="R43" s="16"/>
      <c r="S43" s="16"/>
      <c r="T43" s="16"/>
      <c r="U43" s="16"/>
    </row>
    <row r="44" spans="1:21" x14ac:dyDescent="0.25">
      <c r="A44" s="16"/>
      <c r="B44" s="16"/>
      <c r="C44" s="17"/>
      <c r="D44" s="17"/>
      <c r="E44" s="16"/>
      <c r="F44" s="16"/>
      <c r="G44" s="16"/>
      <c r="H44" s="31" t="str">
        <f>IF(OR(Admin!E44="", Admin!D44=""),
    "",
    IF(Admin!C44="M",
        INDEX('Table B-1'!$C$9:$AX$31, MATCH(Admin!E44, 'Table B-1'!$A$9:$A$31, 0), MATCH(MIN(40,Admin!D44), 'Table B-1'!$C$4:$Z$4, 1)),
        IF(Admin!C44="F",
            INDEX('Table B-1'!$AA$9:$AX$31, MATCH(Admin!E44, 'Table B-1'!$A$9:$A$31, 0), MATCH(MIN(40,Admin!D44), 'Table B-1'!$AA$4:$AX$4, 1)),
            ""
        )
    )
)</f>
        <v/>
      </c>
      <c r="I44" s="31" t="str">
        <f t="shared" si="2"/>
        <v/>
      </c>
      <c r="J44" s="16"/>
      <c r="K44" s="16"/>
      <c r="L44" s="16"/>
      <c r="M44" s="29" t="str">
        <f t="shared" si="0"/>
        <v/>
      </c>
      <c r="N44" s="30" t="str">
        <f>IF(OR(Admin!F44="", Admin!M44=""),
    "",
    IF(Admin!C44="M",
        IFERROR(INDEX('Figure B-1 Male'!$C$4:$AJ$164, MATCH(Admin!F44, 'Figure B-1 Male'!$B$4:$B$164, 0), MATCH(Admin!M44, 'Figure B-1 Male'!$C$3:$AJ$3, 1)) / 100, ""),
        IF(Admin!C44="F",
            IFERROR(INDEX('Figure B-2 Female'!$C$4:$AJ$164, MATCH(Admin!F44, 'Figure B-2 Female'!$B$4:$B$164, 0), MATCH(Admin!M44, 'Figure B-2 Female'!$C$3:$AJ$3, 1)) / 100, ""),
            ""
        )
    )
)</f>
        <v/>
      </c>
      <c r="O44" s="33" t="str">
        <f>IF(OR(F44="", M44=""),
    "",
    IF(Admin!C44="M",
        (-26.97 - (0.12 * F44) + (1.99 * M44)) / 100,
        IF(Admin!C44="F",
            (-9.15 - (0.015 * F44) + (1.27 * M44)) / 100,
            ""
        )
    )
)</f>
        <v/>
      </c>
      <c r="P44" s="30" t="str">
        <f>IF(OR(Admin!I44="Pass", Admin!I44=""),
    "",
    IF(Admin!D44="",
        "",
        IF(Admin!C44="M",
            INDEX('Table B-2'!$D$7:$D$30, MATCH(MIN(40, Admin!D44), 'Table B-2'!$C$7:$C$30, 0)),
            IF(Admin!C44="F",
                INDEX('Table B-2'!$F$7:$F$30, MATCH(MIN(40, Admin!D44), 'Table B-2'!$E$7:$E$30, 0)),
                ""
            )
        )
    )
)</f>
        <v/>
      </c>
      <c r="Q44" s="31" t="str">
        <f t="shared" si="1"/>
        <v/>
      </c>
      <c r="R44" s="16"/>
      <c r="S44" s="16"/>
      <c r="T44" s="16"/>
      <c r="U44" s="16"/>
    </row>
    <row r="45" spans="1:21" x14ac:dyDescent="0.25">
      <c r="A45" s="16"/>
      <c r="B45" s="16"/>
      <c r="C45" s="17"/>
      <c r="D45" s="17"/>
      <c r="E45" s="16"/>
      <c r="F45" s="16"/>
      <c r="G45" s="16"/>
      <c r="H45" s="31" t="str">
        <f>IF(OR(Admin!E45="", Admin!D45=""),
    "",
    IF(Admin!C45="M",
        INDEX('Table B-1'!$C$9:$AX$31, MATCH(Admin!E45, 'Table B-1'!$A$9:$A$31, 0), MATCH(MIN(40,Admin!D45), 'Table B-1'!$C$4:$Z$4, 1)),
        IF(Admin!C45="F",
            INDEX('Table B-1'!$AA$9:$AX$31, MATCH(Admin!E45, 'Table B-1'!$A$9:$A$31, 0), MATCH(MIN(40,Admin!D45), 'Table B-1'!$AA$4:$AX$4, 1)),
            ""
        )
    )
)</f>
        <v/>
      </c>
      <c r="I45" s="31" t="str">
        <f t="shared" si="2"/>
        <v/>
      </c>
      <c r="J45" s="16"/>
      <c r="K45" s="16"/>
      <c r="L45" s="16"/>
      <c r="M45" s="29" t="str">
        <f t="shared" si="0"/>
        <v/>
      </c>
      <c r="N45" s="30" t="str">
        <f>IF(OR(Admin!F45="", Admin!M45=""),
    "",
    IF(Admin!C45="M",
        IFERROR(INDEX('Figure B-1 Male'!$C$4:$AJ$164, MATCH(Admin!F45, 'Figure B-1 Male'!$B$4:$B$164, 0), MATCH(Admin!M45, 'Figure B-1 Male'!$C$3:$AJ$3, 1)) / 100, ""),
        IF(Admin!C45="F",
            IFERROR(INDEX('Figure B-2 Female'!$C$4:$AJ$164, MATCH(Admin!F45, 'Figure B-2 Female'!$B$4:$B$164, 0), MATCH(Admin!M45, 'Figure B-2 Female'!$C$3:$AJ$3, 1)) / 100, ""),
            ""
        )
    )
)</f>
        <v/>
      </c>
      <c r="O45" s="33" t="str">
        <f>IF(OR(F45="", M45=""),
    "",
    IF(Admin!C45="M",
        (-26.97 - (0.12 * F45) + (1.99 * M45)) / 100,
        IF(Admin!C45="F",
            (-9.15 - (0.015 * F45) + (1.27 * M45)) / 100,
            ""
        )
    )
)</f>
        <v/>
      </c>
      <c r="P45" s="30" t="str">
        <f>IF(OR(Admin!I45="Pass", Admin!I45=""),
    "",
    IF(Admin!D45="",
        "",
        IF(Admin!C45="M",
            INDEX('Table B-2'!$D$7:$D$30, MATCH(MIN(40, Admin!D45), 'Table B-2'!$C$7:$C$30, 0)),
            IF(Admin!C45="F",
                INDEX('Table B-2'!$F$7:$F$30, MATCH(MIN(40, Admin!D45), 'Table B-2'!$E$7:$E$30, 0)),
                ""
            )
        )
    )
)</f>
        <v/>
      </c>
      <c r="Q45" s="31" t="str">
        <f t="shared" si="1"/>
        <v/>
      </c>
      <c r="R45" s="16"/>
      <c r="S45" s="16"/>
      <c r="T45" s="16"/>
      <c r="U45" s="16"/>
    </row>
    <row r="46" spans="1:21" x14ac:dyDescent="0.25">
      <c r="A46" s="16"/>
      <c r="B46" s="16"/>
      <c r="C46" s="17"/>
      <c r="D46" s="17"/>
      <c r="E46" s="16"/>
      <c r="F46" s="16"/>
      <c r="G46" s="16"/>
      <c r="H46" s="31" t="str">
        <f>IF(OR(Admin!E46="", Admin!D46=""),
    "",
    IF(Admin!C46="M",
        INDEX('Table B-1'!$C$9:$AX$31, MATCH(Admin!E46, 'Table B-1'!$A$9:$A$31, 0), MATCH(MIN(40,Admin!D46), 'Table B-1'!$C$4:$Z$4, 1)),
        IF(Admin!C46="F",
            INDEX('Table B-1'!$AA$9:$AX$31, MATCH(Admin!E46, 'Table B-1'!$A$9:$A$31, 0), MATCH(MIN(40,Admin!D46), 'Table B-1'!$AA$4:$AX$4, 1)),
            ""
        )
    )
)</f>
        <v/>
      </c>
      <c r="I46" s="31" t="str">
        <f t="shared" si="2"/>
        <v/>
      </c>
      <c r="J46" s="16"/>
      <c r="K46" s="16"/>
      <c r="L46" s="16"/>
      <c r="M46" s="29" t="str">
        <f t="shared" si="0"/>
        <v/>
      </c>
      <c r="N46" s="30" t="str">
        <f>IF(OR(Admin!F46="", Admin!M46=""),
    "",
    IF(Admin!C46="M",
        IFERROR(INDEX('Figure B-1 Male'!$C$4:$AJ$164, MATCH(Admin!F46, 'Figure B-1 Male'!$B$4:$B$164, 0), MATCH(Admin!M46, 'Figure B-1 Male'!$C$3:$AJ$3, 1)) / 100, ""),
        IF(Admin!C46="F",
            IFERROR(INDEX('Figure B-2 Female'!$C$4:$AJ$164, MATCH(Admin!F46, 'Figure B-2 Female'!$B$4:$B$164, 0), MATCH(Admin!M46, 'Figure B-2 Female'!$C$3:$AJ$3, 1)) / 100, ""),
            ""
        )
    )
)</f>
        <v/>
      </c>
      <c r="O46" s="33" t="str">
        <f>IF(OR(F46="", M46=""),
    "",
    IF(Admin!C46="M",
        (-26.97 - (0.12 * F46) + (1.99 * M46)) / 100,
        IF(Admin!C46="F",
            (-9.15 - (0.015 * F46) + (1.27 * M46)) / 100,
            ""
        )
    )
)</f>
        <v/>
      </c>
      <c r="P46" s="30" t="str">
        <f>IF(OR(Admin!I46="Pass", Admin!I46=""),
    "",
    IF(Admin!D46="",
        "",
        IF(Admin!C46="M",
            INDEX('Table B-2'!$D$7:$D$30, MATCH(MIN(40, Admin!D46), 'Table B-2'!$C$7:$C$30, 0)),
            IF(Admin!C46="F",
                INDEX('Table B-2'!$F$7:$F$30, MATCH(MIN(40, Admin!D46), 'Table B-2'!$E$7:$E$30, 0)),
                ""
            )
        )
    )
)</f>
        <v/>
      </c>
      <c r="Q46" s="31" t="str">
        <f t="shared" si="1"/>
        <v/>
      </c>
      <c r="R46" s="16"/>
      <c r="S46" s="16"/>
      <c r="T46" s="16"/>
      <c r="U46" s="16"/>
    </row>
    <row r="47" spans="1:21" x14ac:dyDescent="0.25">
      <c r="A47" s="16"/>
      <c r="B47" s="16"/>
      <c r="C47" s="17"/>
      <c r="D47" s="17"/>
      <c r="E47" s="16"/>
      <c r="F47" s="16"/>
      <c r="G47" s="16"/>
      <c r="H47" s="31" t="str">
        <f>IF(OR(Admin!E47="", Admin!D47=""),
    "",
    IF(Admin!C47="M",
        INDEX('Table B-1'!$C$9:$AX$31, MATCH(Admin!E47, 'Table B-1'!$A$9:$A$31, 0), MATCH(MIN(40,Admin!D47), 'Table B-1'!$C$4:$Z$4, 1)),
        IF(Admin!C47="F",
            INDEX('Table B-1'!$AA$9:$AX$31, MATCH(Admin!E47, 'Table B-1'!$A$9:$A$31, 0), MATCH(MIN(40,Admin!D47), 'Table B-1'!$AA$4:$AX$4, 1)),
            ""
        )
    )
)</f>
        <v/>
      </c>
      <c r="I47" s="31" t="str">
        <f t="shared" si="2"/>
        <v/>
      </c>
      <c r="J47" s="16"/>
      <c r="K47" s="16"/>
      <c r="L47" s="16"/>
      <c r="M47" s="29" t="str">
        <f t="shared" si="0"/>
        <v/>
      </c>
      <c r="N47" s="30" t="str">
        <f>IF(OR(Admin!F47="", Admin!M47=""),
    "",
    IF(Admin!C47="M",
        IFERROR(INDEX('Figure B-1 Male'!$C$4:$AJ$164, MATCH(Admin!F47, 'Figure B-1 Male'!$B$4:$B$164, 0), MATCH(Admin!M47, 'Figure B-1 Male'!$C$3:$AJ$3, 1)) / 100, ""),
        IF(Admin!C47="F",
            IFERROR(INDEX('Figure B-2 Female'!$C$4:$AJ$164, MATCH(Admin!F47, 'Figure B-2 Female'!$B$4:$B$164, 0), MATCH(Admin!M47, 'Figure B-2 Female'!$C$3:$AJ$3, 1)) / 100, ""),
            ""
        )
    )
)</f>
        <v/>
      </c>
      <c r="O47" s="33" t="str">
        <f>IF(OR(F47="", M47=""),
    "",
    IF(Admin!C47="M",
        (-26.97 - (0.12 * F47) + (1.99 * M47)) / 100,
        IF(Admin!C47="F",
            (-9.15 - (0.015 * F47) + (1.27 * M47)) / 100,
            ""
        )
    )
)</f>
        <v/>
      </c>
      <c r="P47" s="30" t="str">
        <f>IF(OR(Admin!I47="Pass", Admin!I47=""),
    "",
    IF(Admin!D47="",
        "",
        IF(Admin!C47="M",
            INDEX('Table B-2'!$D$7:$D$30, MATCH(MIN(40, Admin!D47), 'Table B-2'!$C$7:$C$30, 0)),
            IF(Admin!C47="F",
                INDEX('Table B-2'!$F$7:$F$30, MATCH(MIN(40, Admin!D47), 'Table B-2'!$E$7:$E$30, 0)),
                ""
            )
        )
    )
)</f>
        <v/>
      </c>
      <c r="Q47" s="31" t="str">
        <f t="shared" si="1"/>
        <v/>
      </c>
      <c r="R47" s="16"/>
      <c r="S47" s="16"/>
      <c r="T47" s="16"/>
      <c r="U47" s="16"/>
    </row>
    <row r="48" spans="1:21" x14ac:dyDescent="0.25">
      <c r="A48" s="16"/>
      <c r="B48" s="16"/>
      <c r="C48" s="17"/>
      <c r="D48" s="17"/>
      <c r="E48" s="16"/>
      <c r="F48" s="16"/>
      <c r="G48" s="16"/>
      <c r="H48" s="31" t="str">
        <f>IF(OR(Admin!E48="", Admin!D48=""),
    "",
    IF(Admin!C48="M",
        INDEX('Table B-1'!$C$9:$AX$31, MATCH(Admin!E48, 'Table B-1'!$A$9:$A$31, 0), MATCH(MIN(40,Admin!D48), 'Table B-1'!$C$4:$Z$4, 1)),
        IF(Admin!C48="F",
            INDEX('Table B-1'!$AA$9:$AX$31, MATCH(Admin!E48, 'Table B-1'!$A$9:$A$31, 0), MATCH(MIN(40,Admin!D48), 'Table B-1'!$AA$4:$AX$4, 1)),
            ""
        )
    )
)</f>
        <v/>
      </c>
      <c r="I48" s="31" t="str">
        <f t="shared" si="2"/>
        <v/>
      </c>
      <c r="J48" s="16"/>
      <c r="K48" s="16"/>
      <c r="L48" s="16"/>
      <c r="M48" s="29" t="str">
        <f t="shared" si="0"/>
        <v/>
      </c>
      <c r="N48" s="30" t="str">
        <f>IF(OR(Admin!F48="", Admin!M48=""),
    "",
    IF(Admin!C48="M",
        IFERROR(INDEX('Figure B-1 Male'!$C$4:$AJ$164, MATCH(Admin!F48, 'Figure B-1 Male'!$B$4:$B$164, 0), MATCH(Admin!M48, 'Figure B-1 Male'!$C$3:$AJ$3, 1)) / 100, ""),
        IF(Admin!C48="F",
            IFERROR(INDEX('Figure B-2 Female'!$C$4:$AJ$164, MATCH(Admin!F48, 'Figure B-2 Female'!$B$4:$B$164, 0), MATCH(Admin!M48, 'Figure B-2 Female'!$C$3:$AJ$3, 1)) / 100, ""),
            ""
        )
    )
)</f>
        <v/>
      </c>
      <c r="O48" s="33" t="str">
        <f>IF(OR(F48="", M48=""),
    "",
    IF(Admin!C48="M",
        (-26.97 - (0.12 * F48) + (1.99 * M48)) / 100,
        IF(Admin!C48="F",
            (-9.15 - (0.015 * F48) + (1.27 * M48)) / 100,
            ""
        )
    )
)</f>
        <v/>
      </c>
      <c r="P48" s="30" t="str">
        <f>IF(OR(Admin!I48="Pass", Admin!I48=""),
    "",
    IF(Admin!D48="",
        "",
        IF(Admin!C48="M",
            INDEX('Table B-2'!$D$7:$D$30, MATCH(MIN(40, Admin!D48), 'Table B-2'!$C$7:$C$30, 0)),
            IF(Admin!C48="F",
                INDEX('Table B-2'!$F$7:$F$30, MATCH(MIN(40, Admin!D48), 'Table B-2'!$E$7:$E$30, 0)),
                ""
            )
        )
    )
)</f>
        <v/>
      </c>
      <c r="Q48" s="31" t="str">
        <f t="shared" si="1"/>
        <v/>
      </c>
      <c r="R48" s="16"/>
      <c r="S48" s="16"/>
      <c r="T48" s="16"/>
      <c r="U48" s="16"/>
    </row>
    <row r="49" spans="1:21" x14ac:dyDescent="0.25">
      <c r="A49" s="16"/>
      <c r="B49" s="16"/>
      <c r="C49" s="17"/>
      <c r="D49" s="17"/>
      <c r="E49" s="16"/>
      <c r="F49" s="16"/>
      <c r="G49" s="16"/>
      <c r="H49" s="31" t="str">
        <f>IF(OR(Admin!E49="", Admin!D49=""),
    "",
    IF(Admin!C49="M",
        INDEX('Table B-1'!$C$9:$AX$31, MATCH(Admin!E49, 'Table B-1'!$A$9:$A$31, 0), MATCH(MIN(40,Admin!D49), 'Table B-1'!$C$4:$Z$4, 1)),
        IF(Admin!C49="F",
            INDEX('Table B-1'!$AA$9:$AX$31, MATCH(Admin!E49, 'Table B-1'!$A$9:$A$31, 0), MATCH(MIN(40,Admin!D49), 'Table B-1'!$AA$4:$AX$4, 1)),
            ""
        )
    )
)</f>
        <v/>
      </c>
      <c r="I49" s="31" t="str">
        <f t="shared" si="2"/>
        <v/>
      </c>
      <c r="J49" s="16"/>
      <c r="K49" s="16"/>
      <c r="L49" s="16"/>
      <c r="M49" s="29" t="str">
        <f t="shared" si="0"/>
        <v/>
      </c>
      <c r="N49" s="30" t="str">
        <f>IF(OR(Admin!F49="", Admin!M49=""),
    "",
    IF(Admin!C49="M",
        IFERROR(INDEX('Figure B-1 Male'!$C$4:$AJ$164, MATCH(Admin!F49, 'Figure B-1 Male'!$B$4:$B$164, 0), MATCH(Admin!M49, 'Figure B-1 Male'!$C$3:$AJ$3, 1)) / 100, ""),
        IF(Admin!C49="F",
            IFERROR(INDEX('Figure B-2 Female'!$C$4:$AJ$164, MATCH(Admin!F49, 'Figure B-2 Female'!$B$4:$B$164, 0), MATCH(Admin!M49, 'Figure B-2 Female'!$C$3:$AJ$3, 1)) / 100, ""),
            ""
        )
    )
)</f>
        <v/>
      </c>
      <c r="O49" s="33" t="str">
        <f>IF(OR(F49="", M49=""),
    "",
    IF(Admin!C49="M",
        (-26.97 - (0.12 * F49) + (1.99 * M49)) / 100,
        IF(Admin!C49="F",
            (-9.15 - (0.015 * F49) + (1.27 * M49)) / 100,
            ""
        )
    )
)</f>
        <v/>
      </c>
      <c r="P49" s="30" t="str">
        <f>IF(OR(Admin!I49="Pass", Admin!I49=""),
    "",
    IF(Admin!D49="",
        "",
        IF(Admin!C49="M",
            INDEX('Table B-2'!$D$7:$D$30, MATCH(MIN(40, Admin!D49), 'Table B-2'!$C$7:$C$30, 0)),
            IF(Admin!C49="F",
                INDEX('Table B-2'!$F$7:$F$30, MATCH(MIN(40, Admin!D49), 'Table B-2'!$E$7:$E$30, 0)),
                ""
            )
        )
    )
)</f>
        <v/>
      </c>
      <c r="Q49" s="31" t="str">
        <f t="shared" si="1"/>
        <v/>
      </c>
      <c r="R49" s="16"/>
      <c r="S49" s="16"/>
      <c r="T49" s="16"/>
      <c r="U49" s="16"/>
    </row>
    <row r="50" spans="1:21" x14ac:dyDescent="0.25">
      <c r="A50" s="16"/>
      <c r="B50" s="16"/>
      <c r="C50" s="17"/>
      <c r="D50" s="17"/>
      <c r="E50" s="16"/>
      <c r="F50" s="16"/>
      <c r="G50" s="16"/>
      <c r="H50" s="31" t="str">
        <f>IF(OR(Admin!E50="", Admin!D50=""),
    "",
    IF(Admin!C50="M",
        INDEX('Table B-1'!$C$9:$AX$31, MATCH(Admin!E50, 'Table B-1'!$A$9:$A$31, 0), MATCH(MIN(40,Admin!D50), 'Table B-1'!$C$4:$Z$4, 1)),
        IF(Admin!C50="F",
            INDEX('Table B-1'!$AA$9:$AX$31, MATCH(Admin!E50, 'Table B-1'!$A$9:$A$31, 0), MATCH(MIN(40,Admin!D50), 'Table B-1'!$AA$4:$AX$4, 1)),
            ""
        )
    )
)</f>
        <v/>
      </c>
      <c r="I50" s="31" t="str">
        <f t="shared" si="2"/>
        <v/>
      </c>
      <c r="J50" s="16"/>
      <c r="K50" s="16"/>
      <c r="L50" s="16"/>
      <c r="M50" s="29" t="str">
        <f t="shared" si="0"/>
        <v/>
      </c>
      <c r="N50" s="30" t="str">
        <f>IF(OR(Admin!F50="", Admin!M50=""),
    "",
    IF(Admin!C50="M",
        IFERROR(INDEX('Figure B-1 Male'!$C$4:$AJ$164, MATCH(Admin!F50, 'Figure B-1 Male'!$B$4:$B$164, 0), MATCH(Admin!M50, 'Figure B-1 Male'!$C$3:$AJ$3, 1)) / 100, ""),
        IF(Admin!C50="F",
            IFERROR(INDEX('Figure B-2 Female'!$C$4:$AJ$164, MATCH(Admin!F50, 'Figure B-2 Female'!$B$4:$B$164, 0), MATCH(Admin!M50, 'Figure B-2 Female'!$C$3:$AJ$3, 1)) / 100, ""),
            ""
        )
    )
)</f>
        <v/>
      </c>
      <c r="O50" s="33" t="str">
        <f>IF(OR(F50="", M50=""),
    "",
    IF(Admin!C50="M",
        (-26.97 - (0.12 * F50) + (1.99 * M50)) / 100,
        IF(Admin!C50="F",
            (-9.15 - (0.015 * F50) + (1.27 * M50)) / 100,
            ""
        )
    )
)</f>
        <v/>
      </c>
      <c r="P50" s="30" t="str">
        <f>IF(OR(Admin!I50="Pass", Admin!I50=""),
    "",
    IF(Admin!D50="",
        "",
        IF(Admin!C50="M",
            INDEX('Table B-2'!$D$7:$D$30, MATCH(MIN(40, Admin!D50), 'Table B-2'!$C$7:$C$30, 0)),
            IF(Admin!C50="F",
                INDEX('Table B-2'!$F$7:$F$30, MATCH(MIN(40, Admin!D50), 'Table B-2'!$E$7:$E$30, 0)),
                ""
            )
        )
    )
)</f>
        <v/>
      </c>
      <c r="Q50" s="31" t="str">
        <f t="shared" si="1"/>
        <v/>
      </c>
      <c r="R50" s="16"/>
      <c r="S50" s="16"/>
      <c r="T50" s="16"/>
      <c r="U50" s="16"/>
    </row>
    <row r="51" spans="1:21" x14ac:dyDescent="0.25">
      <c r="A51" s="16"/>
      <c r="B51" s="16"/>
      <c r="C51" s="17"/>
      <c r="D51" s="17"/>
      <c r="E51" s="16"/>
      <c r="F51" s="16"/>
      <c r="G51" s="16"/>
      <c r="H51" s="31" t="str">
        <f>IF(OR(Admin!E51="", Admin!D51=""),
    "",
    IF(Admin!C51="M",
        INDEX('Table B-1'!$C$9:$AX$31, MATCH(Admin!E51, 'Table B-1'!$A$9:$A$31, 0), MATCH(MIN(40,Admin!D51), 'Table B-1'!$C$4:$Z$4, 1)),
        IF(Admin!C51="F",
            INDEX('Table B-1'!$AA$9:$AX$31, MATCH(Admin!E51, 'Table B-1'!$A$9:$A$31, 0), MATCH(MIN(40,Admin!D51), 'Table B-1'!$AA$4:$AX$4, 1)),
            ""
        )
    )
)</f>
        <v/>
      </c>
      <c r="I51" s="31" t="str">
        <f t="shared" si="2"/>
        <v/>
      </c>
      <c r="J51" s="16"/>
      <c r="K51" s="16"/>
      <c r="L51" s="16"/>
      <c r="M51" s="29" t="str">
        <f t="shared" si="0"/>
        <v/>
      </c>
      <c r="N51" s="30" t="str">
        <f>IF(OR(Admin!F51="", Admin!M51=""),
    "",
    IF(Admin!C51="M",
        IFERROR(INDEX('Figure B-1 Male'!$C$4:$AJ$164, MATCH(Admin!F51, 'Figure B-1 Male'!$B$4:$B$164, 0), MATCH(Admin!M51, 'Figure B-1 Male'!$C$3:$AJ$3, 1)) / 100, ""),
        IF(Admin!C51="F",
            IFERROR(INDEX('Figure B-2 Female'!$C$4:$AJ$164, MATCH(Admin!F51, 'Figure B-2 Female'!$B$4:$B$164, 0), MATCH(Admin!M51, 'Figure B-2 Female'!$C$3:$AJ$3, 1)) / 100, ""),
            ""
        )
    )
)</f>
        <v/>
      </c>
      <c r="O51" s="33" t="str">
        <f>IF(OR(F51="", M51=""),
    "",
    IF(Admin!C51="M",
        (-26.97 - (0.12 * F51) + (1.99 * M51)) / 100,
        IF(Admin!C51="F",
            (-9.15 - (0.015 * F51) + (1.27 * M51)) / 100,
            ""
        )
    )
)</f>
        <v/>
      </c>
      <c r="P51" s="30" t="str">
        <f>IF(OR(Admin!I51="Pass", Admin!I51=""),
    "",
    IF(Admin!D51="",
        "",
        IF(Admin!C51="M",
            INDEX('Table B-2'!$D$7:$D$30, MATCH(MIN(40, Admin!D51), 'Table B-2'!$C$7:$C$30, 0)),
            IF(Admin!C51="F",
                INDEX('Table B-2'!$F$7:$F$30, MATCH(MIN(40, Admin!D51), 'Table B-2'!$E$7:$E$30, 0)),
                ""
            )
        )
    )
)</f>
        <v/>
      </c>
      <c r="Q51" s="31" t="str">
        <f t="shared" si="1"/>
        <v/>
      </c>
      <c r="R51" s="16"/>
      <c r="S51" s="16"/>
      <c r="T51" s="16"/>
      <c r="U51" s="16"/>
    </row>
    <row r="52" spans="1:21" x14ac:dyDescent="0.25">
      <c r="A52" s="16"/>
      <c r="B52" s="16"/>
      <c r="C52" s="17"/>
      <c r="D52" s="17"/>
      <c r="E52" s="16"/>
      <c r="F52" s="16"/>
      <c r="G52" s="16"/>
      <c r="H52" s="31" t="str">
        <f>IF(OR(Admin!E52="", Admin!D52=""),
    "",
    IF(Admin!C52="M",
        INDEX('Table B-1'!$C$9:$AX$31, MATCH(Admin!E52, 'Table B-1'!$A$9:$A$31, 0), MATCH(MIN(40,Admin!D52), 'Table B-1'!$C$4:$Z$4, 1)),
        IF(Admin!C52="F",
            INDEX('Table B-1'!$AA$9:$AX$31, MATCH(Admin!E52, 'Table B-1'!$A$9:$A$31, 0), MATCH(MIN(40,Admin!D52), 'Table B-1'!$AA$4:$AX$4, 1)),
            ""
        )
    )
)</f>
        <v/>
      </c>
      <c r="I52" s="31" t="str">
        <f t="shared" si="2"/>
        <v/>
      </c>
      <c r="J52" s="16"/>
      <c r="K52" s="16"/>
      <c r="L52" s="16"/>
      <c r="M52" s="29" t="str">
        <f t="shared" si="0"/>
        <v/>
      </c>
      <c r="N52" s="30" t="str">
        <f>IF(OR(Admin!F52="", Admin!M52=""),
    "",
    IF(Admin!C52="M",
        IFERROR(INDEX('Figure B-1 Male'!$C$4:$AJ$164, MATCH(Admin!F52, 'Figure B-1 Male'!$B$4:$B$164, 0), MATCH(Admin!M52, 'Figure B-1 Male'!$C$3:$AJ$3, 1)) / 100, ""),
        IF(Admin!C52="F",
            IFERROR(INDEX('Figure B-2 Female'!$C$4:$AJ$164, MATCH(Admin!F52, 'Figure B-2 Female'!$B$4:$B$164, 0), MATCH(Admin!M52, 'Figure B-2 Female'!$C$3:$AJ$3, 1)) / 100, ""),
            ""
        )
    )
)</f>
        <v/>
      </c>
      <c r="O52" s="33" t="str">
        <f>IF(OR(F52="", M52=""),
    "",
    IF(Admin!C52="M",
        (-26.97 - (0.12 * F52) + (1.99 * M52)) / 100,
        IF(Admin!C52="F",
            (-9.15 - (0.015 * F52) + (1.27 * M52)) / 100,
            ""
        )
    )
)</f>
        <v/>
      </c>
      <c r="P52" s="30" t="str">
        <f>IF(OR(Admin!I52="Pass", Admin!I52=""),
    "",
    IF(Admin!D52="",
        "",
        IF(Admin!C52="M",
            INDEX('Table B-2'!$D$7:$D$30, MATCH(MIN(40, Admin!D52), 'Table B-2'!$C$7:$C$30, 0)),
            IF(Admin!C52="F",
                INDEX('Table B-2'!$F$7:$F$30, MATCH(MIN(40, Admin!D52), 'Table B-2'!$E$7:$E$30, 0)),
                ""
            )
        )
    )
)</f>
        <v/>
      </c>
      <c r="Q52" s="31" t="str">
        <f t="shared" si="1"/>
        <v/>
      </c>
      <c r="R52" s="16"/>
      <c r="S52" s="16"/>
      <c r="T52" s="16"/>
      <c r="U52" s="16"/>
    </row>
    <row r="53" spans="1:21" x14ac:dyDescent="0.25">
      <c r="A53" s="16"/>
      <c r="B53" s="16"/>
      <c r="C53" s="17"/>
      <c r="D53" s="17"/>
      <c r="E53" s="16"/>
      <c r="F53" s="16"/>
      <c r="G53" s="16"/>
      <c r="H53" s="31" t="str">
        <f>IF(OR(Admin!E53="", Admin!D53=""),
    "",
    IF(Admin!C53="M",
        INDEX('Table B-1'!$C$9:$AX$31, MATCH(Admin!E53, 'Table B-1'!$A$9:$A$31, 0), MATCH(MIN(40,Admin!D53), 'Table B-1'!$C$4:$Z$4, 1)),
        IF(Admin!C53="F",
            INDEX('Table B-1'!$AA$9:$AX$31, MATCH(Admin!E53, 'Table B-1'!$A$9:$A$31, 0), MATCH(MIN(40,Admin!D53), 'Table B-1'!$AA$4:$AX$4, 1)),
            ""
        )
    )
)</f>
        <v/>
      </c>
      <c r="I53" s="31" t="str">
        <f t="shared" si="2"/>
        <v/>
      </c>
      <c r="J53" s="16"/>
      <c r="K53" s="16"/>
      <c r="L53" s="16"/>
      <c r="M53" s="29" t="str">
        <f t="shared" si="0"/>
        <v/>
      </c>
      <c r="N53" s="30" t="str">
        <f>IF(OR(Admin!F53="", Admin!M53=""),
    "",
    IF(Admin!C53="M",
        IFERROR(INDEX('Figure B-1 Male'!$C$4:$AJ$164, MATCH(Admin!F53, 'Figure B-1 Male'!$B$4:$B$164, 0), MATCH(Admin!M53, 'Figure B-1 Male'!$C$3:$AJ$3, 1)) / 100, ""),
        IF(Admin!C53="F",
            IFERROR(INDEX('Figure B-2 Female'!$C$4:$AJ$164, MATCH(Admin!F53, 'Figure B-2 Female'!$B$4:$B$164, 0), MATCH(Admin!M53, 'Figure B-2 Female'!$C$3:$AJ$3, 1)) / 100, ""),
            ""
        )
    )
)</f>
        <v/>
      </c>
      <c r="O53" s="33" t="str">
        <f>IF(OR(F53="", M53=""),
    "",
    IF(Admin!C53="M",
        (-26.97 - (0.12 * F53) + (1.99 * M53)) / 100,
        IF(Admin!C53="F",
            (-9.15 - (0.015 * F53) + (1.27 * M53)) / 100,
            ""
        )
    )
)</f>
        <v/>
      </c>
      <c r="P53" s="30" t="str">
        <f>IF(OR(Admin!I53="Pass", Admin!I53=""),
    "",
    IF(Admin!D53="",
        "",
        IF(Admin!C53="M",
            INDEX('Table B-2'!$D$7:$D$30, MATCH(MIN(40, Admin!D53), 'Table B-2'!$C$7:$C$30, 0)),
            IF(Admin!C53="F",
                INDEX('Table B-2'!$F$7:$F$30, MATCH(MIN(40, Admin!D53), 'Table B-2'!$E$7:$E$30, 0)),
                ""
            )
        )
    )
)</f>
        <v/>
      </c>
      <c r="Q53" s="31" t="str">
        <f t="shared" si="1"/>
        <v/>
      </c>
      <c r="R53" s="16"/>
      <c r="S53" s="16"/>
      <c r="T53" s="16"/>
      <c r="U53" s="16"/>
    </row>
    <row r="54" spans="1:21" x14ac:dyDescent="0.25">
      <c r="A54" s="16"/>
      <c r="B54" s="16"/>
      <c r="C54" s="17"/>
      <c r="D54" s="17"/>
      <c r="E54" s="16"/>
      <c r="F54" s="16"/>
      <c r="G54" s="16"/>
      <c r="H54" s="31" t="str">
        <f>IF(OR(Admin!E54="", Admin!D54=""),
    "",
    IF(Admin!C54="M",
        INDEX('Table B-1'!$C$9:$AX$31, MATCH(Admin!E54, 'Table B-1'!$A$9:$A$31, 0), MATCH(MIN(40,Admin!D54), 'Table B-1'!$C$4:$Z$4, 1)),
        IF(Admin!C54="F",
            INDEX('Table B-1'!$AA$9:$AX$31, MATCH(Admin!E54, 'Table B-1'!$A$9:$A$31, 0), MATCH(MIN(40,Admin!D54), 'Table B-1'!$AA$4:$AX$4, 1)),
            ""
        )
    )
)</f>
        <v/>
      </c>
      <c r="I54" s="31" t="str">
        <f t="shared" si="2"/>
        <v/>
      </c>
      <c r="J54" s="16"/>
      <c r="K54" s="16"/>
      <c r="L54" s="16"/>
      <c r="M54" s="29" t="str">
        <f t="shared" si="0"/>
        <v/>
      </c>
      <c r="N54" s="30" t="str">
        <f>IF(OR(Admin!F54="", Admin!M54=""),
    "",
    IF(Admin!C54="M",
        IFERROR(INDEX('Figure B-1 Male'!$C$4:$AJ$164, MATCH(Admin!F54, 'Figure B-1 Male'!$B$4:$B$164, 0), MATCH(Admin!M54, 'Figure B-1 Male'!$C$3:$AJ$3, 1)) / 100, ""),
        IF(Admin!C54="F",
            IFERROR(INDEX('Figure B-2 Female'!$C$4:$AJ$164, MATCH(Admin!F54, 'Figure B-2 Female'!$B$4:$B$164, 0), MATCH(Admin!M54, 'Figure B-2 Female'!$C$3:$AJ$3, 1)) / 100, ""),
            ""
        )
    )
)</f>
        <v/>
      </c>
      <c r="O54" s="33" t="str">
        <f>IF(OR(F54="", M54=""),
    "",
    IF(Admin!C54="M",
        (-26.97 - (0.12 * F54) + (1.99 * M54)) / 100,
        IF(Admin!C54="F",
            (-9.15 - (0.015 * F54) + (1.27 * M54)) / 100,
            ""
        )
    )
)</f>
        <v/>
      </c>
      <c r="P54" s="30" t="str">
        <f>IF(OR(Admin!I54="Pass", Admin!I54=""),
    "",
    IF(Admin!D54="",
        "",
        IF(Admin!C54="M",
            INDEX('Table B-2'!$D$7:$D$30, MATCH(MIN(40, Admin!D54), 'Table B-2'!$C$7:$C$30, 0)),
            IF(Admin!C54="F",
                INDEX('Table B-2'!$F$7:$F$30, MATCH(MIN(40, Admin!D54), 'Table B-2'!$E$7:$E$30, 0)),
                ""
            )
        )
    )
)</f>
        <v/>
      </c>
      <c r="Q54" s="31" t="str">
        <f t="shared" si="1"/>
        <v/>
      </c>
      <c r="R54" s="16"/>
      <c r="S54" s="16"/>
      <c r="T54" s="16"/>
      <c r="U54" s="16"/>
    </row>
    <row r="55" spans="1:21" x14ac:dyDescent="0.25">
      <c r="A55" s="16"/>
      <c r="B55" s="16"/>
      <c r="C55" s="17"/>
      <c r="D55" s="17"/>
      <c r="E55" s="16"/>
      <c r="F55" s="16"/>
      <c r="G55" s="16"/>
      <c r="H55" s="31" t="str">
        <f>IF(OR(Admin!E55="", Admin!D55=""),
    "",
    IF(Admin!C55="M",
        INDEX('Table B-1'!$C$9:$AX$31, MATCH(Admin!E55, 'Table B-1'!$A$9:$A$31, 0), MATCH(MIN(40,Admin!D55), 'Table B-1'!$C$4:$Z$4, 1)),
        IF(Admin!C55="F",
            INDEX('Table B-1'!$AA$9:$AX$31, MATCH(Admin!E55, 'Table B-1'!$A$9:$A$31, 0), MATCH(MIN(40,Admin!D55), 'Table B-1'!$AA$4:$AX$4, 1)),
            ""
        )
    )
)</f>
        <v/>
      </c>
      <c r="I55" s="31" t="str">
        <f t="shared" si="2"/>
        <v/>
      </c>
      <c r="J55" s="16"/>
      <c r="K55" s="16"/>
      <c r="L55" s="16"/>
      <c r="M55" s="29" t="str">
        <f t="shared" si="0"/>
        <v/>
      </c>
      <c r="N55" s="30" t="str">
        <f>IF(OR(Admin!F55="", Admin!M55=""),
    "",
    IF(Admin!C55="M",
        IFERROR(INDEX('Figure B-1 Male'!$C$4:$AJ$164, MATCH(Admin!F55, 'Figure B-1 Male'!$B$4:$B$164, 0), MATCH(Admin!M55, 'Figure B-1 Male'!$C$3:$AJ$3, 1)) / 100, ""),
        IF(Admin!C55="F",
            IFERROR(INDEX('Figure B-2 Female'!$C$4:$AJ$164, MATCH(Admin!F55, 'Figure B-2 Female'!$B$4:$B$164, 0), MATCH(Admin!M55, 'Figure B-2 Female'!$C$3:$AJ$3, 1)) / 100, ""),
            ""
        )
    )
)</f>
        <v/>
      </c>
      <c r="O55" s="33" t="str">
        <f>IF(OR(F55="", M55=""),
    "",
    IF(Admin!C55="M",
        (-26.97 - (0.12 * F55) + (1.99 * M55)) / 100,
        IF(Admin!C55="F",
            (-9.15 - (0.015 * F55) + (1.27 * M55)) / 100,
            ""
        )
    )
)</f>
        <v/>
      </c>
      <c r="P55" s="30" t="str">
        <f>IF(OR(Admin!I55="Pass", Admin!I55=""),
    "",
    IF(Admin!D55="",
        "",
        IF(Admin!C55="M",
            INDEX('Table B-2'!$D$7:$D$30, MATCH(MIN(40, Admin!D55), 'Table B-2'!$C$7:$C$30, 0)),
            IF(Admin!C55="F",
                INDEX('Table B-2'!$F$7:$F$30, MATCH(MIN(40, Admin!D55), 'Table B-2'!$E$7:$E$30, 0)),
                ""
            )
        )
    )
)</f>
        <v/>
      </c>
      <c r="Q55" s="31" t="str">
        <f t="shared" si="1"/>
        <v/>
      </c>
      <c r="R55" s="16"/>
      <c r="S55" s="16"/>
      <c r="T55" s="16"/>
      <c r="U55" s="16"/>
    </row>
    <row r="56" spans="1:21" x14ac:dyDescent="0.25">
      <c r="A56" s="16"/>
      <c r="B56" s="16"/>
      <c r="C56" s="17"/>
      <c r="D56" s="17"/>
      <c r="E56" s="16"/>
      <c r="F56" s="16"/>
      <c r="G56" s="16"/>
      <c r="H56" s="31" t="str">
        <f>IF(OR(Admin!E56="", Admin!D56=""),
    "",
    IF(Admin!C56="M",
        INDEX('Table B-1'!$C$9:$AX$31, MATCH(Admin!E56, 'Table B-1'!$A$9:$A$31, 0), MATCH(MIN(40,Admin!D56), 'Table B-1'!$C$4:$Z$4, 1)),
        IF(Admin!C56="F",
            INDEX('Table B-1'!$AA$9:$AX$31, MATCH(Admin!E56, 'Table B-1'!$A$9:$A$31, 0), MATCH(MIN(40,Admin!D56), 'Table B-1'!$AA$4:$AX$4, 1)),
            ""
        )
    )
)</f>
        <v/>
      </c>
      <c r="I56" s="31" t="str">
        <f t="shared" si="2"/>
        <v/>
      </c>
      <c r="J56" s="16"/>
      <c r="K56" s="16"/>
      <c r="L56" s="16"/>
      <c r="M56" s="29" t="str">
        <f t="shared" si="0"/>
        <v/>
      </c>
      <c r="N56" s="30" t="str">
        <f>IF(OR(Admin!F56="", Admin!M56=""),
    "",
    IF(Admin!C56="M",
        IFERROR(INDEX('Figure B-1 Male'!$C$4:$AJ$164, MATCH(Admin!F56, 'Figure B-1 Male'!$B$4:$B$164, 0), MATCH(Admin!M56, 'Figure B-1 Male'!$C$3:$AJ$3, 1)) / 100, ""),
        IF(Admin!C56="F",
            IFERROR(INDEX('Figure B-2 Female'!$C$4:$AJ$164, MATCH(Admin!F56, 'Figure B-2 Female'!$B$4:$B$164, 0), MATCH(Admin!M56, 'Figure B-2 Female'!$C$3:$AJ$3, 1)) / 100, ""),
            ""
        )
    )
)</f>
        <v/>
      </c>
      <c r="O56" s="33" t="str">
        <f>IF(OR(F56="", M56=""),
    "",
    IF(Admin!C56="M",
        (-26.97 - (0.12 * F56) + (1.99 * M56)) / 100,
        IF(Admin!C56="F",
            (-9.15 - (0.015 * F56) + (1.27 * M56)) / 100,
            ""
        )
    )
)</f>
        <v/>
      </c>
      <c r="P56" s="30" t="str">
        <f>IF(OR(Admin!I56="Pass", Admin!I56=""),
    "",
    IF(Admin!D56="",
        "",
        IF(Admin!C56="M",
            INDEX('Table B-2'!$D$7:$D$30, MATCH(MIN(40, Admin!D56), 'Table B-2'!$C$7:$C$30, 0)),
            IF(Admin!C56="F",
                INDEX('Table B-2'!$F$7:$F$30, MATCH(MIN(40, Admin!D56), 'Table B-2'!$E$7:$E$30, 0)),
                ""
            )
        )
    )
)</f>
        <v/>
      </c>
      <c r="Q56" s="31" t="str">
        <f t="shared" si="1"/>
        <v/>
      </c>
      <c r="R56" s="16"/>
      <c r="S56" s="16"/>
      <c r="T56" s="16"/>
      <c r="U56" s="16"/>
    </row>
    <row r="57" spans="1:21" x14ac:dyDescent="0.25">
      <c r="A57" s="16"/>
      <c r="B57" s="16"/>
      <c r="C57" s="17"/>
      <c r="D57" s="17"/>
      <c r="E57" s="16"/>
      <c r="F57" s="16"/>
      <c r="G57" s="16"/>
      <c r="H57" s="31" t="str">
        <f>IF(OR(Admin!E57="", Admin!D57=""),
    "",
    IF(Admin!C57="M",
        INDEX('Table B-1'!$C$9:$AX$31, MATCH(Admin!E57, 'Table B-1'!$A$9:$A$31, 0), MATCH(MIN(40,Admin!D57), 'Table B-1'!$C$4:$Z$4, 1)),
        IF(Admin!C57="F",
            INDEX('Table B-1'!$AA$9:$AX$31, MATCH(Admin!E57, 'Table B-1'!$A$9:$A$31, 0), MATCH(MIN(40,Admin!D57), 'Table B-1'!$AA$4:$AX$4, 1)),
            ""
        )
    )
)</f>
        <v/>
      </c>
      <c r="I57" s="31" t="str">
        <f t="shared" si="2"/>
        <v/>
      </c>
      <c r="J57" s="16"/>
      <c r="K57" s="16"/>
      <c r="L57" s="16"/>
      <c r="M57" s="29" t="str">
        <f t="shared" si="0"/>
        <v/>
      </c>
      <c r="N57" s="30" t="str">
        <f>IF(OR(Admin!F57="", Admin!M57=""),
    "",
    IF(Admin!C57="M",
        IFERROR(INDEX('Figure B-1 Male'!$C$4:$AJ$164, MATCH(Admin!F57, 'Figure B-1 Male'!$B$4:$B$164, 0), MATCH(Admin!M57, 'Figure B-1 Male'!$C$3:$AJ$3, 1)) / 100, ""),
        IF(Admin!C57="F",
            IFERROR(INDEX('Figure B-2 Female'!$C$4:$AJ$164, MATCH(Admin!F57, 'Figure B-2 Female'!$B$4:$B$164, 0), MATCH(Admin!M57, 'Figure B-2 Female'!$C$3:$AJ$3, 1)) / 100, ""),
            ""
        )
    )
)</f>
        <v/>
      </c>
      <c r="O57" s="33" t="str">
        <f>IF(OR(F57="", M57=""),
    "",
    IF(Admin!C57="M",
        (-26.97 - (0.12 * F57) + (1.99 * M57)) / 100,
        IF(Admin!C57="F",
            (-9.15 - (0.015 * F57) + (1.27 * M57)) / 100,
            ""
        )
    )
)</f>
        <v/>
      </c>
      <c r="P57" s="30" t="str">
        <f>IF(OR(Admin!I57="Pass", Admin!I57=""),
    "",
    IF(Admin!D57="",
        "",
        IF(Admin!C57="M",
            INDEX('Table B-2'!$D$7:$D$30, MATCH(MIN(40, Admin!D57), 'Table B-2'!$C$7:$C$30, 0)),
            IF(Admin!C57="F",
                INDEX('Table B-2'!$F$7:$F$30, MATCH(MIN(40, Admin!D57), 'Table B-2'!$E$7:$E$30, 0)),
                ""
            )
        )
    )
)</f>
        <v/>
      </c>
      <c r="Q57" s="31" t="str">
        <f t="shared" si="1"/>
        <v/>
      </c>
      <c r="R57" s="16"/>
      <c r="S57" s="16"/>
      <c r="T57" s="16"/>
      <c r="U57" s="16"/>
    </row>
    <row r="58" spans="1:21" x14ac:dyDescent="0.25">
      <c r="A58" s="16"/>
      <c r="B58" s="16"/>
      <c r="C58" s="17"/>
      <c r="D58" s="17"/>
      <c r="E58" s="16"/>
      <c r="F58" s="16"/>
      <c r="G58" s="16"/>
      <c r="H58" s="31" t="str">
        <f>IF(OR(Admin!E58="", Admin!D58=""),
    "",
    IF(Admin!C58="M",
        INDEX('Table B-1'!$C$9:$AX$31, MATCH(Admin!E58, 'Table B-1'!$A$9:$A$31, 0), MATCH(MIN(40,Admin!D58), 'Table B-1'!$C$4:$Z$4, 1)),
        IF(Admin!C58="F",
            INDEX('Table B-1'!$AA$9:$AX$31, MATCH(Admin!E58, 'Table B-1'!$A$9:$A$31, 0), MATCH(MIN(40,Admin!D58), 'Table B-1'!$AA$4:$AX$4, 1)),
            ""
        )
    )
)</f>
        <v/>
      </c>
      <c r="I58" s="31" t="str">
        <f t="shared" si="2"/>
        <v/>
      </c>
      <c r="J58" s="16"/>
      <c r="K58" s="16"/>
      <c r="L58" s="16"/>
      <c r="M58" s="29" t="str">
        <f t="shared" si="0"/>
        <v/>
      </c>
      <c r="N58" s="30" t="str">
        <f>IF(OR(Admin!F58="", Admin!M58=""),
    "",
    IF(Admin!C58="M",
        IFERROR(INDEX('Figure B-1 Male'!$C$4:$AJ$164, MATCH(Admin!F58, 'Figure B-1 Male'!$B$4:$B$164, 0), MATCH(Admin!M58, 'Figure B-1 Male'!$C$3:$AJ$3, 1)) / 100, ""),
        IF(Admin!C58="F",
            IFERROR(INDEX('Figure B-2 Female'!$C$4:$AJ$164, MATCH(Admin!F58, 'Figure B-2 Female'!$B$4:$B$164, 0), MATCH(Admin!M58, 'Figure B-2 Female'!$C$3:$AJ$3, 1)) / 100, ""),
            ""
        )
    )
)</f>
        <v/>
      </c>
      <c r="O58" s="33" t="str">
        <f>IF(OR(F58="", M58=""),
    "",
    IF(Admin!C58="M",
        (-26.97 - (0.12 * F58) + (1.99 * M58)) / 100,
        IF(Admin!C58="F",
            (-9.15 - (0.015 * F58) + (1.27 * M58)) / 100,
            ""
        )
    )
)</f>
        <v/>
      </c>
      <c r="P58" s="30" t="str">
        <f>IF(OR(Admin!I58="Pass", Admin!I58=""),
    "",
    IF(Admin!D58="",
        "",
        IF(Admin!C58="M",
            INDEX('Table B-2'!$D$7:$D$30, MATCH(MIN(40, Admin!D58), 'Table B-2'!$C$7:$C$30, 0)),
            IF(Admin!C58="F",
                INDEX('Table B-2'!$F$7:$F$30, MATCH(MIN(40, Admin!D58), 'Table B-2'!$E$7:$E$30, 0)),
                ""
            )
        )
    )
)</f>
        <v/>
      </c>
      <c r="Q58" s="31" t="str">
        <f t="shared" si="1"/>
        <v/>
      </c>
      <c r="R58" s="16"/>
      <c r="S58" s="16"/>
      <c r="T58" s="16"/>
      <c r="U58" s="16"/>
    </row>
    <row r="59" spans="1:21" x14ac:dyDescent="0.25">
      <c r="A59" s="16"/>
      <c r="B59" s="16"/>
      <c r="C59" s="17"/>
      <c r="D59" s="17"/>
      <c r="E59" s="16"/>
      <c r="F59" s="16"/>
      <c r="G59" s="16"/>
      <c r="H59" s="31" t="str">
        <f>IF(OR(Admin!E59="", Admin!D59=""),
    "",
    IF(Admin!C59="M",
        INDEX('Table B-1'!$C$9:$AX$31, MATCH(Admin!E59, 'Table B-1'!$A$9:$A$31, 0), MATCH(MIN(40,Admin!D59), 'Table B-1'!$C$4:$Z$4, 1)),
        IF(Admin!C59="F",
            INDEX('Table B-1'!$AA$9:$AX$31, MATCH(Admin!E59, 'Table B-1'!$A$9:$A$31, 0), MATCH(MIN(40,Admin!D59), 'Table B-1'!$AA$4:$AX$4, 1)),
            ""
        )
    )
)</f>
        <v/>
      </c>
      <c r="I59" s="31" t="str">
        <f t="shared" si="2"/>
        <v/>
      </c>
      <c r="J59" s="16"/>
      <c r="K59" s="16"/>
      <c r="L59" s="16"/>
      <c r="M59" s="29" t="str">
        <f t="shared" si="0"/>
        <v/>
      </c>
      <c r="N59" s="30" t="str">
        <f>IF(OR(Admin!F59="", Admin!M59=""),
    "",
    IF(Admin!C59="M",
        IFERROR(INDEX('Figure B-1 Male'!$C$4:$AJ$164, MATCH(Admin!F59, 'Figure B-1 Male'!$B$4:$B$164, 0), MATCH(Admin!M59, 'Figure B-1 Male'!$C$3:$AJ$3, 1)) / 100, ""),
        IF(Admin!C59="F",
            IFERROR(INDEX('Figure B-2 Female'!$C$4:$AJ$164, MATCH(Admin!F59, 'Figure B-2 Female'!$B$4:$B$164, 0), MATCH(Admin!M59, 'Figure B-2 Female'!$C$3:$AJ$3, 1)) / 100, ""),
            ""
        )
    )
)</f>
        <v/>
      </c>
      <c r="O59" s="33" t="str">
        <f>IF(OR(F59="", M59=""),
    "",
    IF(Admin!C59="M",
        (-26.97 - (0.12 * F59) + (1.99 * M59)) / 100,
        IF(Admin!C59="F",
            (-9.15 - (0.015 * F59) + (1.27 * M59)) / 100,
            ""
        )
    )
)</f>
        <v/>
      </c>
      <c r="P59" s="30" t="str">
        <f>IF(OR(Admin!I59="Pass", Admin!I59=""),
    "",
    IF(Admin!D59="",
        "",
        IF(Admin!C59="M",
            INDEX('Table B-2'!$D$7:$D$30, MATCH(MIN(40, Admin!D59), 'Table B-2'!$C$7:$C$30, 0)),
            IF(Admin!C59="F",
                INDEX('Table B-2'!$F$7:$F$30, MATCH(MIN(40, Admin!D59), 'Table B-2'!$E$7:$E$30, 0)),
                ""
            )
        )
    )
)</f>
        <v/>
      </c>
      <c r="Q59" s="31" t="str">
        <f t="shared" si="1"/>
        <v/>
      </c>
      <c r="R59" s="16"/>
      <c r="S59" s="16"/>
      <c r="T59" s="16"/>
      <c r="U59" s="16"/>
    </row>
    <row r="60" spans="1:21" x14ac:dyDescent="0.25">
      <c r="A60" s="16"/>
      <c r="B60" s="16"/>
      <c r="C60" s="17"/>
      <c r="D60" s="17"/>
      <c r="E60" s="16"/>
      <c r="F60" s="16"/>
      <c r="G60" s="16"/>
      <c r="H60" s="31" t="str">
        <f>IF(OR(Admin!E60="", Admin!D60=""),
    "",
    IF(Admin!C60="M",
        INDEX('Table B-1'!$C$9:$AX$31, MATCH(Admin!E60, 'Table B-1'!$A$9:$A$31, 0), MATCH(MIN(40,Admin!D60), 'Table B-1'!$C$4:$Z$4, 1)),
        IF(Admin!C60="F",
            INDEX('Table B-1'!$AA$9:$AX$31, MATCH(Admin!E60, 'Table B-1'!$A$9:$A$31, 0), MATCH(MIN(40,Admin!D60), 'Table B-1'!$AA$4:$AX$4, 1)),
            ""
        )
    )
)</f>
        <v/>
      </c>
      <c r="I60" s="31" t="str">
        <f t="shared" si="2"/>
        <v/>
      </c>
      <c r="J60" s="16"/>
      <c r="K60" s="16"/>
      <c r="L60" s="16"/>
      <c r="M60" s="29" t="str">
        <f t="shared" si="0"/>
        <v/>
      </c>
      <c r="N60" s="30" t="str">
        <f>IF(OR(Admin!F60="", Admin!M60=""),
    "",
    IF(Admin!C60="M",
        IFERROR(INDEX('Figure B-1 Male'!$C$4:$AJ$164, MATCH(Admin!F60, 'Figure B-1 Male'!$B$4:$B$164, 0), MATCH(Admin!M60, 'Figure B-1 Male'!$C$3:$AJ$3, 1)) / 100, ""),
        IF(Admin!C60="F",
            IFERROR(INDEX('Figure B-2 Female'!$C$4:$AJ$164, MATCH(Admin!F60, 'Figure B-2 Female'!$B$4:$B$164, 0), MATCH(Admin!M60, 'Figure B-2 Female'!$C$3:$AJ$3, 1)) / 100, ""),
            ""
        )
    )
)</f>
        <v/>
      </c>
      <c r="O60" s="33" t="str">
        <f>IF(OR(F60="", M60=""),
    "",
    IF(Admin!C60="M",
        (-26.97 - (0.12 * F60) + (1.99 * M60)) / 100,
        IF(Admin!C60="F",
            (-9.15 - (0.015 * F60) + (1.27 * M60)) / 100,
            ""
        )
    )
)</f>
        <v/>
      </c>
      <c r="P60" s="30" t="str">
        <f>IF(OR(Admin!I60="Pass", Admin!I60=""),
    "",
    IF(Admin!D60="",
        "",
        IF(Admin!C60="M",
            INDEX('Table B-2'!$D$7:$D$30, MATCH(MIN(40, Admin!D60), 'Table B-2'!$C$7:$C$30, 0)),
            IF(Admin!C60="F",
                INDEX('Table B-2'!$F$7:$F$30, MATCH(MIN(40, Admin!D60), 'Table B-2'!$E$7:$E$30, 0)),
                ""
            )
        )
    )
)</f>
        <v/>
      </c>
      <c r="Q60" s="31" t="str">
        <f t="shared" si="1"/>
        <v/>
      </c>
      <c r="R60" s="16"/>
      <c r="S60" s="16"/>
      <c r="T60" s="16"/>
      <c r="U60" s="16"/>
    </row>
    <row r="61" spans="1:21" x14ac:dyDescent="0.25">
      <c r="A61" s="16"/>
      <c r="B61" s="16"/>
      <c r="C61" s="17"/>
      <c r="D61" s="17"/>
      <c r="E61" s="16"/>
      <c r="F61" s="16"/>
      <c r="G61" s="16"/>
      <c r="H61" s="31" t="str">
        <f>IF(OR(Admin!E61="", Admin!D61=""),
    "",
    IF(Admin!C61="M",
        INDEX('Table B-1'!$C$9:$AX$31, MATCH(Admin!E61, 'Table B-1'!$A$9:$A$31, 0), MATCH(MIN(40,Admin!D61), 'Table B-1'!$C$4:$Z$4, 1)),
        IF(Admin!C61="F",
            INDEX('Table B-1'!$AA$9:$AX$31, MATCH(Admin!E61, 'Table B-1'!$A$9:$A$31, 0), MATCH(MIN(40,Admin!D61), 'Table B-1'!$AA$4:$AX$4, 1)),
            ""
        )
    )
)</f>
        <v/>
      </c>
      <c r="I61" s="31" t="str">
        <f t="shared" si="2"/>
        <v/>
      </c>
      <c r="J61" s="16"/>
      <c r="K61" s="16"/>
      <c r="L61" s="16"/>
      <c r="M61" s="29" t="str">
        <f t="shared" si="0"/>
        <v/>
      </c>
      <c r="N61" s="30" t="str">
        <f>IF(OR(Admin!F61="", Admin!M61=""),
    "",
    IF(Admin!C61="M",
        IFERROR(INDEX('Figure B-1 Male'!$C$4:$AJ$164, MATCH(Admin!F61, 'Figure B-1 Male'!$B$4:$B$164, 0), MATCH(Admin!M61, 'Figure B-1 Male'!$C$3:$AJ$3, 1)) / 100, ""),
        IF(Admin!C61="F",
            IFERROR(INDEX('Figure B-2 Female'!$C$4:$AJ$164, MATCH(Admin!F61, 'Figure B-2 Female'!$B$4:$B$164, 0), MATCH(Admin!M61, 'Figure B-2 Female'!$C$3:$AJ$3, 1)) / 100, ""),
            ""
        )
    )
)</f>
        <v/>
      </c>
      <c r="O61" s="33" t="str">
        <f>IF(OR(F61="", M61=""),
    "",
    IF(Admin!C61="M",
        (-26.97 - (0.12 * F61) + (1.99 * M61)) / 100,
        IF(Admin!C61="F",
            (-9.15 - (0.015 * F61) + (1.27 * M61)) / 100,
            ""
        )
    )
)</f>
        <v/>
      </c>
      <c r="P61" s="30" t="str">
        <f>IF(OR(Admin!I61="Pass", Admin!I61=""),
    "",
    IF(Admin!D61="",
        "",
        IF(Admin!C61="M",
            INDEX('Table B-2'!$D$7:$D$30, MATCH(MIN(40, Admin!D61), 'Table B-2'!$C$7:$C$30, 0)),
            IF(Admin!C61="F",
                INDEX('Table B-2'!$F$7:$F$30, MATCH(MIN(40, Admin!D61), 'Table B-2'!$E$7:$E$30, 0)),
                ""
            )
        )
    )
)</f>
        <v/>
      </c>
      <c r="Q61" s="31" t="str">
        <f t="shared" si="1"/>
        <v/>
      </c>
      <c r="R61" s="16"/>
      <c r="S61" s="16"/>
      <c r="T61" s="16"/>
      <c r="U61" s="16"/>
    </row>
    <row r="62" spans="1:21" x14ac:dyDescent="0.25">
      <c r="A62" s="16"/>
      <c r="B62" s="16"/>
      <c r="C62" s="17"/>
      <c r="D62" s="17"/>
      <c r="E62" s="16"/>
      <c r="F62" s="16"/>
      <c r="G62" s="16"/>
      <c r="H62" s="31" t="str">
        <f>IF(OR(Admin!E62="", Admin!D62=""),
    "",
    IF(Admin!C62="M",
        INDEX('Table B-1'!$C$9:$AX$31, MATCH(Admin!E62, 'Table B-1'!$A$9:$A$31, 0), MATCH(MIN(40,Admin!D62), 'Table B-1'!$C$4:$Z$4, 1)),
        IF(Admin!C62="F",
            INDEX('Table B-1'!$AA$9:$AX$31, MATCH(Admin!E62, 'Table B-1'!$A$9:$A$31, 0), MATCH(MIN(40,Admin!D62), 'Table B-1'!$AA$4:$AX$4, 1)),
            ""
        )
    )
)</f>
        <v/>
      </c>
      <c r="I62" s="31" t="str">
        <f t="shared" si="2"/>
        <v/>
      </c>
      <c r="J62" s="16"/>
      <c r="K62" s="16"/>
      <c r="L62" s="16"/>
      <c r="M62" s="29" t="str">
        <f t="shared" si="0"/>
        <v/>
      </c>
      <c r="N62" s="30" t="str">
        <f>IF(OR(Admin!F62="", Admin!M62=""),
    "",
    IF(Admin!C62="M",
        IFERROR(INDEX('Figure B-1 Male'!$C$4:$AJ$164, MATCH(Admin!F62, 'Figure B-1 Male'!$B$4:$B$164, 0), MATCH(Admin!M62, 'Figure B-1 Male'!$C$3:$AJ$3, 1)) / 100, ""),
        IF(Admin!C62="F",
            IFERROR(INDEX('Figure B-2 Female'!$C$4:$AJ$164, MATCH(Admin!F62, 'Figure B-2 Female'!$B$4:$B$164, 0), MATCH(Admin!M62, 'Figure B-2 Female'!$C$3:$AJ$3, 1)) / 100, ""),
            ""
        )
    )
)</f>
        <v/>
      </c>
      <c r="O62" s="33" t="str">
        <f>IF(OR(F62="", M62=""),
    "",
    IF(Admin!C62="M",
        (-26.97 - (0.12 * F62) + (1.99 * M62)) / 100,
        IF(Admin!C62="F",
            (-9.15 - (0.015 * F62) + (1.27 * M62)) / 100,
            ""
        )
    )
)</f>
        <v/>
      </c>
      <c r="P62" s="30" t="str">
        <f>IF(OR(Admin!I62="Pass", Admin!I62=""),
    "",
    IF(Admin!D62="",
        "",
        IF(Admin!C62="M",
            INDEX('Table B-2'!$D$7:$D$30, MATCH(MIN(40, Admin!D62), 'Table B-2'!$C$7:$C$30, 0)),
            IF(Admin!C62="F",
                INDEX('Table B-2'!$F$7:$F$30, MATCH(MIN(40, Admin!D62), 'Table B-2'!$E$7:$E$30, 0)),
                ""
            )
        )
    )
)</f>
        <v/>
      </c>
      <c r="Q62" s="31" t="str">
        <f t="shared" si="1"/>
        <v/>
      </c>
      <c r="R62" s="16"/>
      <c r="S62" s="16"/>
      <c r="T62" s="16"/>
      <c r="U62" s="16"/>
    </row>
    <row r="63" spans="1:21" x14ac:dyDescent="0.25">
      <c r="A63" s="16"/>
      <c r="B63" s="16"/>
      <c r="C63" s="17"/>
      <c r="D63" s="17"/>
      <c r="E63" s="16"/>
      <c r="F63" s="16"/>
      <c r="G63" s="16"/>
      <c r="H63" s="31" t="str">
        <f>IF(OR(Admin!E63="", Admin!D63=""),
    "",
    IF(Admin!C63="M",
        INDEX('Table B-1'!$C$9:$AX$31, MATCH(Admin!E63, 'Table B-1'!$A$9:$A$31, 0), MATCH(MIN(40,Admin!D63), 'Table B-1'!$C$4:$Z$4, 1)),
        IF(Admin!C63="F",
            INDEX('Table B-1'!$AA$9:$AX$31, MATCH(Admin!E63, 'Table B-1'!$A$9:$A$31, 0), MATCH(MIN(40,Admin!D63), 'Table B-1'!$AA$4:$AX$4, 1)),
            ""
        )
    )
)</f>
        <v/>
      </c>
      <c r="I63" s="31" t="str">
        <f t="shared" si="2"/>
        <v/>
      </c>
      <c r="J63" s="16"/>
      <c r="K63" s="16"/>
      <c r="L63" s="16"/>
      <c r="M63" s="29" t="str">
        <f t="shared" si="0"/>
        <v/>
      </c>
      <c r="N63" s="30" t="str">
        <f>IF(OR(Admin!F63="", Admin!M63=""),
    "",
    IF(Admin!C63="M",
        IFERROR(INDEX('Figure B-1 Male'!$C$4:$AJ$164, MATCH(Admin!F63, 'Figure B-1 Male'!$B$4:$B$164, 0), MATCH(Admin!M63, 'Figure B-1 Male'!$C$3:$AJ$3, 1)) / 100, ""),
        IF(Admin!C63="F",
            IFERROR(INDEX('Figure B-2 Female'!$C$4:$AJ$164, MATCH(Admin!F63, 'Figure B-2 Female'!$B$4:$B$164, 0), MATCH(Admin!M63, 'Figure B-2 Female'!$C$3:$AJ$3, 1)) / 100, ""),
            ""
        )
    )
)</f>
        <v/>
      </c>
      <c r="O63" s="33" t="str">
        <f>IF(OR(F63="", M63=""),
    "",
    IF(Admin!C63="M",
        (-26.97 - (0.12 * F63) + (1.99 * M63)) / 100,
        IF(Admin!C63="F",
            (-9.15 - (0.015 * F63) + (1.27 * M63)) / 100,
            ""
        )
    )
)</f>
        <v/>
      </c>
      <c r="P63" s="30" t="str">
        <f>IF(OR(Admin!I63="Pass", Admin!I63=""),
    "",
    IF(Admin!D63="",
        "",
        IF(Admin!C63="M",
            INDEX('Table B-2'!$D$7:$D$30, MATCH(MIN(40, Admin!D63), 'Table B-2'!$C$7:$C$30, 0)),
            IF(Admin!C63="F",
                INDEX('Table B-2'!$F$7:$F$30, MATCH(MIN(40, Admin!D63), 'Table B-2'!$E$7:$E$30, 0)),
                ""
            )
        )
    )
)</f>
        <v/>
      </c>
      <c r="Q63" s="31" t="str">
        <f t="shared" si="1"/>
        <v/>
      </c>
      <c r="R63" s="16"/>
      <c r="S63" s="16"/>
      <c r="T63" s="16"/>
      <c r="U63" s="16"/>
    </row>
    <row r="64" spans="1:21" x14ac:dyDescent="0.25">
      <c r="A64" s="16"/>
      <c r="B64" s="16"/>
      <c r="C64" s="17"/>
      <c r="D64" s="17"/>
      <c r="E64" s="16"/>
      <c r="F64" s="16"/>
      <c r="G64" s="16"/>
      <c r="H64" s="31" t="str">
        <f>IF(OR(Admin!E64="", Admin!D64=""),
    "",
    IF(Admin!C64="M",
        INDEX('Table B-1'!$C$9:$AX$31, MATCH(Admin!E64, 'Table B-1'!$A$9:$A$31, 0), MATCH(MIN(40,Admin!D64), 'Table B-1'!$C$4:$Z$4, 1)),
        IF(Admin!C64="F",
            INDEX('Table B-1'!$AA$9:$AX$31, MATCH(Admin!E64, 'Table B-1'!$A$9:$A$31, 0), MATCH(MIN(40,Admin!D64), 'Table B-1'!$AA$4:$AX$4, 1)),
            ""
        )
    )
)</f>
        <v/>
      </c>
      <c r="I64" s="31" t="str">
        <f t="shared" si="2"/>
        <v/>
      </c>
      <c r="J64" s="16"/>
      <c r="K64" s="16"/>
      <c r="L64" s="16"/>
      <c r="M64" s="29" t="str">
        <f t="shared" si="0"/>
        <v/>
      </c>
      <c r="N64" s="30" t="str">
        <f>IF(OR(Admin!F64="", Admin!M64=""),
    "",
    IF(Admin!C64="M",
        IFERROR(INDEX('Figure B-1 Male'!$C$4:$AJ$164, MATCH(Admin!F64, 'Figure B-1 Male'!$B$4:$B$164, 0), MATCH(Admin!M64, 'Figure B-1 Male'!$C$3:$AJ$3, 1)) / 100, ""),
        IF(Admin!C64="F",
            IFERROR(INDEX('Figure B-2 Female'!$C$4:$AJ$164, MATCH(Admin!F64, 'Figure B-2 Female'!$B$4:$B$164, 0), MATCH(Admin!M64, 'Figure B-2 Female'!$C$3:$AJ$3, 1)) / 100, ""),
            ""
        )
    )
)</f>
        <v/>
      </c>
      <c r="O64" s="33" t="str">
        <f>IF(OR(F64="", M64=""),
    "",
    IF(Admin!C64="M",
        (-26.97 - (0.12 * F64) + (1.99 * M64)) / 100,
        IF(Admin!C64="F",
            (-9.15 - (0.015 * F64) + (1.27 * M64)) / 100,
            ""
        )
    )
)</f>
        <v/>
      </c>
      <c r="P64" s="30" t="str">
        <f>IF(OR(Admin!I64="Pass", Admin!I64=""),
    "",
    IF(Admin!D64="",
        "",
        IF(Admin!C64="M",
            INDEX('Table B-2'!$D$7:$D$30, MATCH(MIN(40, Admin!D64), 'Table B-2'!$C$7:$C$30, 0)),
            IF(Admin!C64="F",
                INDEX('Table B-2'!$F$7:$F$30, MATCH(MIN(40, Admin!D64), 'Table B-2'!$E$7:$E$30, 0)),
                ""
            )
        )
    )
)</f>
        <v/>
      </c>
      <c r="Q64" s="31" t="str">
        <f t="shared" si="1"/>
        <v/>
      </c>
      <c r="R64" s="16"/>
      <c r="S64" s="16"/>
      <c r="T64" s="16"/>
      <c r="U64" s="16"/>
    </row>
    <row r="65" spans="1:21" x14ac:dyDescent="0.25">
      <c r="A65" s="16"/>
      <c r="B65" s="16"/>
      <c r="C65" s="17"/>
      <c r="D65" s="17"/>
      <c r="E65" s="16"/>
      <c r="F65" s="16"/>
      <c r="G65" s="16"/>
      <c r="H65" s="31" t="str">
        <f>IF(OR(Admin!E65="", Admin!D65=""),
    "",
    IF(Admin!C65="M",
        INDEX('Table B-1'!$C$9:$AX$31, MATCH(Admin!E65, 'Table B-1'!$A$9:$A$31, 0), MATCH(MIN(40,Admin!D65), 'Table B-1'!$C$4:$Z$4, 1)),
        IF(Admin!C65="F",
            INDEX('Table B-1'!$AA$9:$AX$31, MATCH(Admin!E65, 'Table B-1'!$A$9:$A$31, 0), MATCH(MIN(40,Admin!D65), 'Table B-1'!$AA$4:$AX$4, 1)),
            ""
        )
    )
)</f>
        <v/>
      </c>
      <c r="I65" s="31" t="str">
        <f t="shared" si="2"/>
        <v/>
      </c>
      <c r="J65" s="16"/>
      <c r="K65" s="16"/>
      <c r="L65" s="16"/>
      <c r="M65" s="29" t="str">
        <f t="shared" si="0"/>
        <v/>
      </c>
      <c r="N65" s="30" t="str">
        <f>IF(OR(Admin!F65="", Admin!M65=""),
    "",
    IF(Admin!C65="M",
        IFERROR(INDEX('Figure B-1 Male'!$C$4:$AJ$164, MATCH(Admin!F65, 'Figure B-1 Male'!$B$4:$B$164, 0), MATCH(Admin!M65, 'Figure B-1 Male'!$C$3:$AJ$3, 1)) / 100, ""),
        IF(Admin!C65="F",
            IFERROR(INDEX('Figure B-2 Female'!$C$4:$AJ$164, MATCH(Admin!F65, 'Figure B-2 Female'!$B$4:$B$164, 0), MATCH(Admin!M65, 'Figure B-2 Female'!$C$3:$AJ$3, 1)) / 100, ""),
            ""
        )
    )
)</f>
        <v/>
      </c>
      <c r="O65" s="33" t="str">
        <f>IF(OR(F65="", M65=""),
    "",
    IF(Admin!C65="M",
        (-26.97 - (0.12 * F65) + (1.99 * M65)) / 100,
        IF(Admin!C65="F",
            (-9.15 - (0.015 * F65) + (1.27 * M65)) / 100,
            ""
        )
    )
)</f>
        <v/>
      </c>
      <c r="P65" s="30" t="str">
        <f>IF(OR(Admin!I65="Pass", Admin!I65=""),
    "",
    IF(Admin!D65="",
        "",
        IF(Admin!C65="M",
            INDEX('Table B-2'!$D$7:$D$30, MATCH(MIN(40, Admin!D65), 'Table B-2'!$C$7:$C$30, 0)),
            IF(Admin!C65="F",
                INDEX('Table B-2'!$F$7:$F$30, MATCH(MIN(40, Admin!D65), 'Table B-2'!$E$7:$E$30, 0)),
                ""
            )
        )
    )
)</f>
        <v/>
      </c>
      <c r="Q65" s="31" t="str">
        <f t="shared" si="1"/>
        <v/>
      </c>
      <c r="R65" s="16"/>
      <c r="S65" s="16"/>
      <c r="T65" s="16"/>
      <c r="U65" s="16"/>
    </row>
    <row r="66" spans="1:21" x14ac:dyDescent="0.25">
      <c r="A66" s="16"/>
      <c r="B66" s="16"/>
      <c r="C66" s="17"/>
      <c r="D66" s="17"/>
      <c r="E66" s="16"/>
      <c r="F66" s="16"/>
      <c r="G66" s="16"/>
      <c r="H66" s="31" t="str">
        <f>IF(OR(Admin!E66="", Admin!D66=""),
    "",
    IF(Admin!C66="M",
        INDEX('Table B-1'!$C$9:$AX$31, MATCH(Admin!E66, 'Table B-1'!$A$9:$A$31, 0), MATCH(MIN(40,Admin!D66), 'Table B-1'!$C$4:$Z$4, 1)),
        IF(Admin!C66="F",
            INDEX('Table B-1'!$AA$9:$AX$31, MATCH(Admin!E66, 'Table B-1'!$A$9:$A$31, 0), MATCH(MIN(40,Admin!D66), 'Table B-1'!$AA$4:$AX$4, 1)),
            ""
        )
    )
)</f>
        <v/>
      </c>
      <c r="I66" s="31" t="str">
        <f t="shared" si="2"/>
        <v/>
      </c>
      <c r="J66" s="16"/>
      <c r="K66" s="16"/>
      <c r="L66" s="16"/>
      <c r="M66" s="29" t="str">
        <f t="shared" si="0"/>
        <v/>
      </c>
      <c r="N66" s="30" t="str">
        <f>IF(OR(Admin!F66="", Admin!M66=""),
    "",
    IF(Admin!C66="M",
        IFERROR(INDEX('Figure B-1 Male'!$C$4:$AJ$164, MATCH(Admin!F66, 'Figure B-1 Male'!$B$4:$B$164, 0), MATCH(Admin!M66, 'Figure B-1 Male'!$C$3:$AJ$3, 1)) / 100, ""),
        IF(Admin!C66="F",
            IFERROR(INDEX('Figure B-2 Female'!$C$4:$AJ$164, MATCH(Admin!F66, 'Figure B-2 Female'!$B$4:$B$164, 0), MATCH(Admin!M66, 'Figure B-2 Female'!$C$3:$AJ$3, 1)) / 100, ""),
            ""
        )
    )
)</f>
        <v/>
      </c>
      <c r="O66" s="33" t="str">
        <f>IF(OR(F66="", M66=""),
    "",
    IF(Admin!C66="M",
        (-26.97 - (0.12 * F66) + (1.99 * M66)) / 100,
        IF(Admin!C66="F",
            (-9.15 - (0.015 * F66) + (1.27 * M66)) / 100,
            ""
        )
    )
)</f>
        <v/>
      </c>
      <c r="P66" s="30" t="str">
        <f>IF(OR(Admin!I66="Pass", Admin!I66=""),
    "",
    IF(Admin!D66="",
        "",
        IF(Admin!C66="M",
            INDEX('Table B-2'!$D$7:$D$30, MATCH(MIN(40, Admin!D66), 'Table B-2'!$C$7:$C$30, 0)),
            IF(Admin!C66="F",
                INDEX('Table B-2'!$F$7:$F$30, MATCH(MIN(40, Admin!D66), 'Table B-2'!$E$7:$E$30, 0)),
                ""
            )
        )
    )
)</f>
        <v/>
      </c>
      <c r="Q66" s="31" t="str">
        <f t="shared" si="1"/>
        <v/>
      </c>
      <c r="R66" s="16"/>
      <c r="S66" s="16"/>
      <c r="T66" s="16"/>
      <c r="U66" s="16"/>
    </row>
    <row r="67" spans="1:21" x14ac:dyDescent="0.25">
      <c r="A67" s="16"/>
      <c r="B67" s="16"/>
      <c r="C67" s="17"/>
      <c r="D67" s="17"/>
      <c r="E67" s="16"/>
      <c r="F67" s="16"/>
      <c r="G67" s="16"/>
      <c r="H67" s="31" t="str">
        <f>IF(OR(Admin!E67="", Admin!D67=""),
    "",
    IF(Admin!C67="M",
        INDEX('Table B-1'!$C$9:$AX$31, MATCH(Admin!E67, 'Table B-1'!$A$9:$A$31, 0), MATCH(MIN(40,Admin!D67), 'Table B-1'!$C$4:$Z$4, 1)),
        IF(Admin!C67="F",
            INDEX('Table B-1'!$AA$9:$AX$31, MATCH(Admin!E67, 'Table B-1'!$A$9:$A$31, 0), MATCH(MIN(40,Admin!D67), 'Table B-1'!$AA$4:$AX$4, 1)),
            ""
        )
    )
)</f>
        <v/>
      </c>
      <c r="I67" s="31" t="str">
        <f t="shared" si="2"/>
        <v/>
      </c>
      <c r="J67" s="16"/>
      <c r="K67" s="16"/>
      <c r="L67" s="16"/>
      <c r="M67" s="29" t="str">
        <f t="shared" si="0"/>
        <v/>
      </c>
      <c r="N67" s="30" t="str">
        <f>IF(OR(Admin!F67="", Admin!M67=""),
    "",
    IF(Admin!C67="M",
        IFERROR(INDEX('Figure B-1 Male'!$C$4:$AJ$164, MATCH(Admin!F67, 'Figure B-1 Male'!$B$4:$B$164, 0), MATCH(Admin!M67, 'Figure B-1 Male'!$C$3:$AJ$3, 1)) / 100, ""),
        IF(Admin!C67="F",
            IFERROR(INDEX('Figure B-2 Female'!$C$4:$AJ$164, MATCH(Admin!F67, 'Figure B-2 Female'!$B$4:$B$164, 0), MATCH(Admin!M67, 'Figure B-2 Female'!$C$3:$AJ$3, 1)) / 100, ""),
            ""
        )
    )
)</f>
        <v/>
      </c>
      <c r="O67" s="33" t="str">
        <f>IF(OR(F67="", M67=""),
    "",
    IF(Admin!C67="M",
        (-26.97 - (0.12 * F67) + (1.99 * M67)) / 100,
        IF(Admin!C67="F",
            (-9.15 - (0.015 * F67) + (1.27 * M67)) / 100,
            ""
        )
    )
)</f>
        <v/>
      </c>
      <c r="P67" s="30" t="str">
        <f>IF(OR(Admin!I67="Pass", Admin!I67=""),
    "",
    IF(Admin!D67="",
        "",
        IF(Admin!C67="M",
            INDEX('Table B-2'!$D$7:$D$30, MATCH(MIN(40, Admin!D67), 'Table B-2'!$C$7:$C$30, 0)),
            IF(Admin!C67="F",
                INDEX('Table B-2'!$F$7:$F$30, MATCH(MIN(40, Admin!D67), 'Table B-2'!$E$7:$E$30, 0)),
                ""
            )
        )
    )
)</f>
        <v/>
      </c>
      <c r="Q67" s="31" t="str">
        <f t="shared" si="1"/>
        <v/>
      </c>
      <c r="R67" s="16"/>
      <c r="S67" s="16"/>
      <c r="T67" s="16"/>
      <c r="U67" s="16"/>
    </row>
    <row r="68" spans="1:21" x14ac:dyDescent="0.25">
      <c r="A68" s="16"/>
      <c r="B68" s="16"/>
      <c r="C68" s="17"/>
      <c r="D68" s="17"/>
      <c r="E68" s="16"/>
      <c r="F68" s="16"/>
      <c r="G68" s="16"/>
      <c r="H68" s="31" t="str">
        <f>IF(OR(Admin!E68="", Admin!D68=""),
    "",
    IF(Admin!C68="M",
        INDEX('Table B-1'!$C$9:$AX$31, MATCH(Admin!E68, 'Table B-1'!$A$9:$A$31, 0), MATCH(MIN(40,Admin!D68), 'Table B-1'!$C$4:$Z$4, 1)),
        IF(Admin!C68="F",
            INDEX('Table B-1'!$AA$9:$AX$31, MATCH(Admin!E68, 'Table B-1'!$A$9:$A$31, 0), MATCH(MIN(40,Admin!D68), 'Table B-1'!$AA$4:$AX$4, 1)),
            ""
        )
    )
)</f>
        <v/>
      </c>
      <c r="I68" s="31" t="str">
        <f t="shared" si="2"/>
        <v/>
      </c>
      <c r="J68" s="16"/>
      <c r="K68" s="16"/>
      <c r="L68" s="16"/>
      <c r="M68" s="29" t="str">
        <f t="shared" si="0"/>
        <v/>
      </c>
      <c r="N68" s="30" t="str">
        <f>IF(OR(Admin!F68="", Admin!M68=""),
    "",
    IF(Admin!C68="M",
        IFERROR(INDEX('Figure B-1 Male'!$C$4:$AJ$164, MATCH(Admin!F68, 'Figure B-1 Male'!$B$4:$B$164, 0), MATCH(Admin!M68, 'Figure B-1 Male'!$C$3:$AJ$3, 1)) / 100, ""),
        IF(Admin!C68="F",
            IFERROR(INDEX('Figure B-2 Female'!$C$4:$AJ$164, MATCH(Admin!F68, 'Figure B-2 Female'!$B$4:$B$164, 0), MATCH(Admin!M68, 'Figure B-2 Female'!$C$3:$AJ$3, 1)) / 100, ""),
            ""
        )
    )
)</f>
        <v/>
      </c>
      <c r="O68" s="33" t="str">
        <f>IF(OR(F68="", M68=""),
    "",
    IF(Admin!C68="M",
        (-26.97 - (0.12 * F68) + (1.99 * M68)) / 100,
        IF(Admin!C68="F",
            (-9.15 - (0.015 * F68) + (1.27 * M68)) / 100,
            ""
        )
    )
)</f>
        <v/>
      </c>
      <c r="P68" s="30" t="str">
        <f>IF(OR(Admin!I68="Pass", Admin!I68=""),
    "",
    IF(Admin!D68="",
        "",
        IF(Admin!C68="M",
            INDEX('Table B-2'!$D$7:$D$30, MATCH(MIN(40, Admin!D68), 'Table B-2'!$C$7:$C$30, 0)),
            IF(Admin!C68="F",
                INDEX('Table B-2'!$F$7:$F$30, MATCH(MIN(40, Admin!D68), 'Table B-2'!$E$7:$E$30, 0)),
                ""
            )
        )
    )
)</f>
        <v/>
      </c>
      <c r="Q68" s="31" t="str">
        <f t="shared" si="1"/>
        <v/>
      </c>
      <c r="R68" s="16"/>
      <c r="S68" s="16"/>
      <c r="T68" s="16"/>
      <c r="U68" s="16"/>
    </row>
    <row r="69" spans="1:21" x14ac:dyDescent="0.25">
      <c r="A69" s="16"/>
      <c r="B69" s="16"/>
      <c r="C69" s="17"/>
      <c r="D69" s="17"/>
      <c r="E69" s="16"/>
      <c r="F69" s="16"/>
      <c r="G69" s="16"/>
      <c r="H69" s="31" t="str">
        <f>IF(OR(Admin!E69="", Admin!D69=""),
    "",
    IF(Admin!C69="M",
        INDEX('Table B-1'!$C$9:$AX$31, MATCH(Admin!E69, 'Table B-1'!$A$9:$A$31, 0), MATCH(MIN(40,Admin!D69), 'Table B-1'!$C$4:$Z$4, 1)),
        IF(Admin!C69="F",
            INDEX('Table B-1'!$AA$9:$AX$31, MATCH(Admin!E69, 'Table B-1'!$A$9:$A$31, 0), MATCH(MIN(40,Admin!D69), 'Table B-1'!$AA$4:$AX$4, 1)),
            ""
        )
    )
)</f>
        <v/>
      </c>
      <c r="I69" s="31" t="str">
        <f t="shared" si="2"/>
        <v/>
      </c>
      <c r="J69" s="16"/>
      <c r="K69" s="16"/>
      <c r="L69" s="16"/>
      <c r="M69" s="29" t="str">
        <f t="shared" si="0"/>
        <v/>
      </c>
      <c r="N69" s="30" t="str">
        <f>IF(OR(Admin!F69="", Admin!M69=""),
    "",
    IF(Admin!C69="M",
        IFERROR(INDEX('Figure B-1 Male'!$C$4:$AJ$164, MATCH(Admin!F69, 'Figure B-1 Male'!$B$4:$B$164, 0), MATCH(Admin!M69, 'Figure B-1 Male'!$C$3:$AJ$3, 1)) / 100, ""),
        IF(Admin!C69="F",
            IFERROR(INDEX('Figure B-2 Female'!$C$4:$AJ$164, MATCH(Admin!F69, 'Figure B-2 Female'!$B$4:$B$164, 0), MATCH(Admin!M69, 'Figure B-2 Female'!$C$3:$AJ$3, 1)) / 100, ""),
            ""
        )
    )
)</f>
        <v/>
      </c>
      <c r="O69" s="33" t="str">
        <f>IF(OR(F69="", M69=""),
    "",
    IF(Admin!C69="M",
        (-26.97 - (0.12 * F69) + (1.99 * M69)) / 100,
        IF(Admin!C69="F",
            (-9.15 - (0.015 * F69) + (1.27 * M69)) / 100,
            ""
        )
    )
)</f>
        <v/>
      </c>
      <c r="P69" s="30" t="str">
        <f>IF(OR(Admin!I69="Pass", Admin!I69=""),
    "",
    IF(Admin!D69="",
        "",
        IF(Admin!C69="M",
            INDEX('Table B-2'!$D$7:$D$30, MATCH(MIN(40, Admin!D69), 'Table B-2'!$C$7:$C$30, 0)),
            IF(Admin!C69="F",
                INDEX('Table B-2'!$F$7:$F$30, MATCH(MIN(40, Admin!D69), 'Table B-2'!$E$7:$E$30, 0)),
                ""
            )
        )
    )
)</f>
        <v/>
      </c>
      <c r="Q69" s="31" t="str">
        <f t="shared" si="1"/>
        <v/>
      </c>
      <c r="R69" s="16"/>
      <c r="S69" s="16"/>
      <c r="T69" s="16"/>
      <c r="U69" s="16"/>
    </row>
    <row r="70" spans="1:21" x14ac:dyDescent="0.25">
      <c r="A70" s="16"/>
      <c r="B70" s="16"/>
      <c r="C70" s="17"/>
      <c r="D70" s="17"/>
      <c r="E70" s="16"/>
      <c r="F70" s="16"/>
      <c r="G70" s="16"/>
      <c r="H70" s="31" t="str">
        <f>IF(OR(Admin!E70="", Admin!D70=""),
    "",
    IF(Admin!C70="M",
        INDEX('Table B-1'!$C$9:$AX$31, MATCH(Admin!E70, 'Table B-1'!$A$9:$A$31, 0), MATCH(MIN(40,Admin!D70), 'Table B-1'!$C$4:$Z$4, 1)),
        IF(Admin!C70="F",
            INDEX('Table B-1'!$AA$9:$AX$31, MATCH(Admin!E70, 'Table B-1'!$A$9:$A$31, 0), MATCH(MIN(40,Admin!D70), 'Table B-1'!$AA$4:$AX$4, 1)),
            ""
        )
    )
)</f>
        <v/>
      </c>
      <c r="I70" s="31" t="str">
        <f t="shared" si="2"/>
        <v/>
      </c>
      <c r="J70" s="16"/>
      <c r="K70" s="16"/>
      <c r="L70" s="16"/>
      <c r="M70" s="29" t="str">
        <f t="shared" si="0"/>
        <v/>
      </c>
      <c r="N70" s="30" t="str">
        <f>IF(OR(Admin!F70="", Admin!M70=""),
    "",
    IF(Admin!C70="M",
        IFERROR(INDEX('Figure B-1 Male'!$C$4:$AJ$164, MATCH(Admin!F70, 'Figure B-1 Male'!$B$4:$B$164, 0), MATCH(Admin!M70, 'Figure B-1 Male'!$C$3:$AJ$3, 1)) / 100, ""),
        IF(Admin!C70="F",
            IFERROR(INDEX('Figure B-2 Female'!$C$4:$AJ$164, MATCH(Admin!F70, 'Figure B-2 Female'!$B$4:$B$164, 0), MATCH(Admin!M70, 'Figure B-2 Female'!$C$3:$AJ$3, 1)) / 100, ""),
            ""
        )
    )
)</f>
        <v/>
      </c>
      <c r="O70" s="33" t="str">
        <f>IF(OR(F70="", M70=""),
    "",
    IF(Admin!C70="M",
        (-26.97 - (0.12 * F70) + (1.99 * M70)) / 100,
        IF(Admin!C70="F",
            (-9.15 - (0.015 * F70) + (1.27 * M70)) / 100,
            ""
        )
    )
)</f>
        <v/>
      </c>
      <c r="P70" s="30" t="str">
        <f>IF(OR(Admin!I70="Pass", Admin!I70=""),
    "",
    IF(Admin!D70="",
        "",
        IF(Admin!C70="M",
            INDEX('Table B-2'!$D$7:$D$30, MATCH(MIN(40, Admin!D70), 'Table B-2'!$C$7:$C$30, 0)),
            IF(Admin!C70="F",
                INDEX('Table B-2'!$F$7:$F$30, MATCH(MIN(40, Admin!D70), 'Table B-2'!$E$7:$E$30, 0)),
                ""
            )
        )
    )
)</f>
        <v/>
      </c>
      <c r="Q70" s="31" t="str">
        <f t="shared" si="1"/>
        <v/>
      </c>
      <c r="R70" s="16"/>
      <c r="S70" s="16"/>
      <c r="T70" s="16"/>
      <c r="U70" s="16"/>
    </row>
    <row r="71" spans="1:21" x14ac:dyDescent="0.25">
      <c r="A71" s="16"/>
      <c r="B71" s="16"/>
      <c r="C71" s="17"/>
      <c r="D71" s="17"/>
      <c r="E71" s="16"/>
      <c r="F71" s="16"/>
      <c r="G71" s="16"/>
      <c r="H71" s="31" t="str">
        <f>IF(OR(Admin!E71="", Admin!D71=""),
    "",
    IF(Admin!C71="M",
        INDEX('Table B-1'!$C$9:$AX$31, MATCH(Admin!E71, 'Table B-1'!$A$9:$A$31, 0), MATCH(MIN(40,Admin!D71), 'Table B-1'!$C$4:$Z$4, 1)),
        IF(Admin!C71="F",
            INDEX('Table B-1'!$AA$9:$AX$31, MATCH(Admin!E71, 'Table B-1'!$A$9:$A$31, 0), MATCH(MIN(40,Admin!D71), 'Table B-1'!$AA$4:$AX$4, 1)),
            ""
        )
    )
)</f>
        <v/>
      </c>
      <c r="I71" s="31" t="str">
        <f t="shared" ref="I71:I105" si="3">IF(F71="", "", IF(F71&gt;H71, "Needs Tape", IF(F71&lt;=H71, "Pass", "")))</f>
        <v/>
      </c>
      <c r="J71" s="16"/>
      <c r="K71" s="16"/>
      <c r="L71" s="16"/>
      <c r="M71" s="29" t="str">
        <f t="shared" ref="M71:M104" si="4">IF(OR(ABS(J71-K71)&gt;1, ABS(K71-L71)&gt;1, ABS(J71-L71)&gt;1), "Measurements differ by more than 1 inch",
    IF(OR(J71="", K71="", L71=""), "", ROUND(AVERAGE(J71, K71, L71)*2, 0)/2)
)</f>
        <v/>
      </c>
      <c r="N71" s="30" t="str">
        <f>IF(OR(Admin!F71="", Admin!M71=""),
    "",
    IF(Admin!C71="M",
        IFERROR(INDEX('Figure B-1 Male'!$C$4:$AJ$164, MATCH(Admin!F71, 'Figure B-1 Male'!$B$4:$B$164, 0), MATCH(Admin!M71, 'Figure B-1 Male'!$C$3:$AJ$3, 1)) / 100, ""),
        IF(Admin!C71="F",
            IFERROR(INDEX('Figure B-2 Female'!$C$4:$AJ$164, MATCH(Admin!F71, 'Figure B-2 Female'!$B$4:$B$164, 0), MATCH(Admin!M71, 'Figure B-2 Female'!$C$3:$AJ$3, 1)) / 100, ""),
            ""
        )
    )
)</f>
        <v/>
      </c>
      <c r="O71" s="33" t="str">
        <f>IF(OR(F71="", M71=""),
    "",
    IF(Admin!C71="M",
        (-26.97 - (0.12 * F71) + (1.99 * M71)) / 100,
        IF(Admin!C71="F",
            (-9.15 - (0.015 * F71) + (1.27 * M71)) / 100,
            ""
        )
    )
)</f>
        <v/>
      </c>
      <c r="P71" s="30" t="str">
        <f>IF(OR(Admin!I71="Pass", Admin!I71=""),
    "",
    IF(Admin!D71="",
        "",
        IF(Admin!C71="M",
            INDEX('Table B-2'!$D$7:$D$30, MATCH(MIN(40, Admin!D71), 'Table B-2'!$C$7:$C$30, 0)),
            IF(Admin!C71="F",
                INDEX('Table B-2'!$F$7:$F$30, MATCH(MIN(40, Admin!D71), 'Table B-2'!$E$7:$E$30, 0)),
                ""
            )
        )
    )
)</f>
        <v/>
      </c>
      <c r="Q71" s="31" t="str">
        <f t="shared" ref="Q71:Q105" si="5">IF(OR(N71="", P71=""),
    "",
    IF(N71&gt;P71, "Fail Tape", IF(N71&lt;=P71, "Pass", ""))
)</f>
        <v/>
      </c>
      <c r="R71" s="16"/>
      <c r="S71" s="16"/>
      <c r="T71" s="16"/>
      <c r="U71" s="16"/>
    </row>
    <row r="72" spans="1:21" x14ac:dyDescent="0.25">
      <c r="A72" s="16"/>
      <c r="B72" s="16"/>
      <c r="C72" s="17"/>
      <c r="D72" s="17"/>
      <c r="E72" s="16"/>
      <c r="F72" s="16"/>
      <c r="G72" s="16"/>
      <c r="H72" s="31" t="str">
        <f>IF(OR(Admin!E72="", Admin!D72=""),
    "",
    IF(Admin!C72="M",
        INDEX('Table B-1'!$C$9:$AX$31, MATCH(Admin!E72, 'Table B-1'!$A$9:$A$31, 0), MATCH(MIN(40,Admin!D72), 'Table B-1'!$C$4:$Z$4, 1)),
        IF(Admin!C72="F",
            INDEX('Table B-1'!$AA$9:$AX$31, MATCH(Admin!E72, 'Table B-1'!$A$9:$A$31, 0), MATCH(MIN(40,Admin!D72), 'Table B-1'!$AA$4:$AX$4, 1)),
            ""
        )
    )
)</f>
        <v/>
      </c>
      <c r="I72" s="31" t="str">
        <f t="shared" si="3"/>
        <v/>
      </c>
      <c r="J72" s="16"/>
      <c r="K72" s="16"/>
      <c r="L72" s="16"/>
      <c r="M72" s="29" t="str">
        <f t="shared" si="4"/>
        <v/>
      </c>
      <c r="N72" s="30" t="str">
        <f>IF(OR(Admin!F72="", Admin!M72=""),
    "",
    IF(Admin!C72="M",
        IFERROR(INDEX('Figure B-1 Male'!$C$4:$AJ$164, MATCH(Admin!F72, 'Figure B-1 Male'!$B$4:$B$164, 0), MATCH(Admin!M72, 'Figure B-1 Male'!$C$3:$AJ$3, 1)) / 100, ""),
        IF(Admin!C72="F",
            IFERROR(INDEX('Figure B-2 Female'!$C$4:$AJ$164, MATCH(Admin!F72, 'Figure B-2 Female'!$B$4:$B$164, 0), MATCH(Admin!M72, 'Figure B-2 Female'!$C$3:$AJ$3, 1)) / 100, ""),
            ""
        )
    )
)</f>
        <v/>
      </c>
      <c r="O72" s="33" t="str">
        <f>IF(OR(F72="", M72=""),
    "",
    IF(Admin!C72="M",
        (-26.97 - (0.12 * F72) + (1.99 * M72)) / 100,
        IF(Admin!C72="F",
            (-9.15 - (0.015 * F72) + (1.27 * M72)) / 100,
            ""
        )
    )
)</f>
        <v/>
      </c>
      <c r="P72" s="30" t="str">
        <f>IF(OR(Admin!I72="Pass", Admin!I72=""),
    "",
    IF(Admin!D72="",
        "",
        IF(Admin!C72="M",
            INDEX('Table B-2'!$D$7:$D$30, MATCH(MIN(40, Admin!D72), 'Table B-2'!$C$7:$C$30, 0)),
            IF(Admin!C72="F",
                INDEX('Table B-2'!$F$7:$F$30, MATCH(MIN(40, Admin!D72), 'Table B-2'!$E$7:$E$30, 0)),
                ""
            )
        )
    )
)</f>
        <v/>
      </c>
      <c r="Q72" s="31" t="str">
        <f t="shared" si="5"/>
        <v/>
      </c>
      <c r="R72" s="16"/>
      <c r="S72" s="16"/>
      <c r="T72" s="16"/>
      <c r="U72" s="16"/>
    </row>
    <row r="73" spans="1:21" x14ac:dyDescent="0.25">
      <c r="A73" s="16"/>
      <c r="B73" s="16"/>
      <c r="C73" s="17"/>
      <c r="D73" s="17"/>
      <c r="E73" s="16"/>
      <c r="F73" s="16"/>
      <c r="G73" s="16"/>
      <c r="H73" s="31" t="str">
        <f>IF(OR(Admin!E73="", Admin!D73=""),
    "",
    IF(Admin!C73="M",
        INDEX('Table B-1'!$C$9:$AX$31, MATCH(Admin!E73, 'Table B-1'!$A$9:$A$31, 0), MATCH(MIN(40,Admin!D73), 'Table B-1'!$C$4:$Z$4, 1)),
        IF(Admin!C73="F",
            INDEX('Table B-1'!$AA$9:$AX$31, MATCH(Admin!E73, 'Table B-1'!$A$9:$A$31, 0), MATCH(MIN(40,Admin!D73), 'Table B-1'!$AA$4:$AX$4, 1)),
            ""
        )
    )
)</f>
        <v/>
      </c>
      <c r="I73" s="31" t="str">
        <f t="shared" si="3"/>
        <v/>
      </c>
      <c r="J73" s="16"/>
      <c r="K73" s="16"/>
      <c r="L73" s="16"/>
      <c r="M73" s="29" t="str">
        <f t="shared" si="4"/>
        <v/>
      </c>
      <c r="N73" s="30" t="str">
        <f>IF(OR(Admin!F73="", Admin!M73=""),
    "",
    IF(Admin!C73="M",
        IFERROR(INDEX('Figure B-1 Male'!$C$4:$AJ$164, MATCH(Admin!F73, 'Figure B-1 Male'!$B$4:$B$164, 0), MATCH(Admin!M73, 'Figure B-1 Male'!$C$3:$AJ$3, 1)) / 100, ""),
        IF(Admin!C73="F",
            IFERROR(INDEX('Figure B-2 Female'!$C$4:$AJ$164, MATCH(Admin!F73, 'Figure B-2 Female'!$B$4:$B$164, 0), MATCH(Admin!M73, 'Figure B-2 Female'!$C$3:$AJ$3, 1)) / 100, ""),
            ""
        )
    )
)</f>
        <v/>
      </c>
      <c r="O73" s="33" t="str">
        <f>IF(OR(F73="", M73=""),
    "",
    IF(Admin!C73="M",
        (-26.97 - (0.12 * F73) + (1.99 * M73)) / 100,
        IF(Admin!C73="F",
            (-9.15 - (0.015 * F73) + (1.27 * M73)) / 100,
            ""
        )
    )
)</f>
        <v/>
      </c>
      <c r="P73" s="30" t="str">
        <f>IF(OR(Admin!I73="Pass", Admin!I73=""),
    "",
    IF(Admin!D73="",
        "",
        IF(Admin!C73="M",
            INDEX('Table B-2'!$D$7:$D$30, MATCH(MIN(40, Admin!D73), 'Table B-2'!$C$7:$C$30, 0)),
            IF(Admin!C73="F",
                INDEX('Table B-2'!$F$7:$F$30, MATCH(MIN(40, Admin!D73), 'Table B-2'!$E$7:$E$30, 0)),
                ""
            )
        )
    )
)</f>
        <v/>
      </c>
      <c r="Q73" s="31" t="str">
        <f t="shared" si="5"/>
        <v/>
      </c>
      <c r="R73" s="16"/>
      <c r="S73" s="16"/>
      <c r="T73" s="16"/>
      <c r="U73" s="16"/>
    </row>
    <row r="74" spans="1:21" x14ac:dyDescent="0.25">
      <c r="A74" s="16"/>
      <c r="B74" s="16"/>
      <c r="C74" s="17"/>
      <c r="D74" s="17"/>
      <c r="E74" s="16"/>
      <c r="F74" s="16"/>
      <c r="G74" s="16"/>
      <c r="H74" s="31" t="str">
        <f>IF(OR(Admin!E74="", Admin!D74=""),
    "",
    IF(Admin!C74="M",
        INDEX('Table B-1'!$C$9:$AX$31, MATCH(Admin!E74, 'Table B-1'!$A$9:$A$31, 0), MATCH(MIN(40,Admin!D74), 'Table B-1'!$C$4:$Z$4, 1)),
        IF(Admin!C74="F",
            INDEX('Table B-1'!$AA$9:$AX$31, MATCH(Admin!E74, 'Table B-1'!$A$9:$A$31, 0), MATCH(MIN(40,Admin!D74), 'Table B-1'!$AA$4:$AX$4, 1)),
            ""
        )
    )
)</f>
        <v/>
      </c>
      <c r="I74" s="31" t="str">
        <f t="shared" si="3"/>
        <v/>
      </c>
      <c r="J74" s="16"/>
      <c r="K74" s="16"/>
      <c r="L74" s="16"/>
      <c r="M74" s="29" t="str">
        <f t="shared" si="4"/>
        <v/>
      </c>
      <c r="N74" s="30" t="str">
        <f>IF(OR(Admin!F74="", Admin!M74=""),
    "",
    IF(Admin!C74="M",
        IFERROR(INDEX('Figure B-1 Male'!$C$4:$AJ$164, MATCH(Admin!F74, 'Figure B-1 Male'!$B$4:$B$164, 0), MATCH(Admin!M74, 'Figure B-1 Male'!$C$3:$AJ$3, 1)) / 100, ""),
        IF(Admin!C74="F",
            IFERROR(INDEX('Figure B-2 Female'!$C$4:$AJ$164, MATCH(Admin!F74, 'Figure B-2 Female'!$B$4:$B$164, 0), MATCH(Admin!M74, 'Figure B-2 Female'!$C$3:$AJ$3, 1)) / 100, ""),
            ""
        )
    )
)</f>
        <v/>
      </c>
      <c r="O74" s="33" t="str">
        <f>IF(OR(F74="", M74=""),
    "",
    IF(Admin!C74="M",
        (-26.97 - (0.12 * F74) + (1.99 * M74)) / 100,
        IF(Admin!C74="F",
            (-9.15 - (0.015 * F74) + (1.27 * M74)) / 100,
            ""
        )
    )
)</f>
        <v/>
      </c>
      <c r="P74" s="30" t="str">
        <f>IF(OR(Admin!I74="Pass", Admin!I74=""),
    "",
    IF(Admin!D74="",
        "",
        IF(Admin!C74="M",
            INDEX('Table B-2'!$D$7:$D$30, MATCH(MIN(40, Admin!D74), 'Table B-2'!$C$7:$C$30, 0)),
            IF(Admin!C74="F",
                INDEX('Table B-2'!$F$7:$F$30, MATCH(MIN(40, Admin!D74), 'Table B-2'!$E$7:$E$30, 0)),
                ""
            )
        )
    )
)</f>
        <v/>
      </c>
      <c r="Q74" s="31" t="str">
        <f t="shared" si="5"/>
        <v/>
      </c>
      <c r="R74" s="16"/>
      <c r="S74" s="16"/>
      <c r="T74" s="16"/>
      <c r="U74" s="16"/>
    </row>
    <row r="75" spans="1:21" x14ac:dyDescent="0.25">
      <c r="A75" s="16"/>
      <c r="B75" s="16"/>
      <c r="C75" s="17"/>
      <c r="D75" s="17"/>
      <c r="E75" s="16"/>
      <c r="F75" s="16"/>
      <c r="G75" s="16"/>
      <c r="H75" s="31" t="str">
        <f>IF(OR(Admin!E75="", Admin!D75=""),
    "",
    IF(Admin!C75="M",
        INDEX('Table B-1'!$C$9:$AX$31, MATCH(Admin!E75, 'Table B-1'!$A$9:$A$31, 0), MATCH(MIN(40,Admin!D75), 'Table B-1'!$C$4:$Z$4, 1)),
        IF(Admin!C75="F",
            INDEX('Table B-1'!$AA$9:$AX$31, MATCH(Admin!E75, 'Table B-1'!$A$9:$A$31, 0), MATCH(MIN(40,Admin!D75), 'Table B-1'!$AA$4:$AX$4, 1)),
            ""
        )
    )
)</f>
        <v/>
      </c>
      <c r="I75" s="31" t="str">
        <f t="shared" si="3"/>
        <v/>
      </c>
      <c r="J75" s="16"/>
      <c r="K75" s="16"/>
      <c r="L75" s="16"/>
      <c r="M75" s="29" t="str">
        <f t="shared" si="4"/>
        <v/>
      </c>
      <c r="N75" s="30" t="str">
        <f>IF(OR(Admin!F75="", Admin!M75=""),
    "",
    IF(Admin!C75="M",
        IFERROR(INDEX('Figure B-1 Male'!$C$4:$AJ$164, MATCH(Admin!F75, 'Figure B-1 Male'!$B$4:$B$164, 0), MATCH(Admin!M75, 'Figure B-1 Male'!$C$3:$AJ$3, 1)) / 100, ""),
        IF(Admin!C75="F",
            IFERROR(INDEX('Figure B-2 Female'!$C$4:$AJ$164, MATCH(Admin!F75, 'Figure B-2 Female'!$B$4:$B$164, 0), MATCH(Admin!M75, 'Figure B-2 Female'!$C$3:$AJ$3, 1)) / 100, ""),
            ""
        )
    )
)</f>
        <v/>
      </c>
      <c r="O75" s="33" t="str">
        <f>IF(OR(F75="", M75=""),
    "",
    IF(Admin!C75="M",
        (-26.97 - (0.12 * F75) + (1.99 * M75)) / 100,
        IF(Admin!C75="F",
            (-9.15 - (0.015 * F75) + (1.27 * M75)) / 100,
            ""
        )
    )
)</f>
        <v/>
      </c>
      <c r="P75" s="30" t="str">
        <f>IF(OR(Admin!I75="Pass", Admin!I75=""),
    "",
    IF(Admin!D75="",
        "",
        IF(Admin!C75="M",
            INDEX('Table B-2'!$D$7:$D$30, MATCH(MIN(40, Admin!D75), 'Table B-2'!$C$7:$C$30, 0)),
            IF(Admin!C75="F",
                INDEX('Table B-2'!$F$7:$F$30, MATCH(MIN(40, Admin!D75), 'Table B-2'!$E$7:$E$30, 0)),
                ""
            )
        )
    )
)</f>
        <v/>
      </c>
      <c r="Q75" s="31" t="str">
        <f t="shared" si="5"/>
        <v/>
      </c>
      <c r="R75" s="16"/>
      <c r="S75" s="16"/>
      <c r="T75" s="16"/>
      <c r="U75" s="16"/>
    </row>
    <row r="76" spans="1:21" x14ac:dyDescent="0.25">
      <c r="A76" s="16"/>
      <c r="B76" s="16"/>
      <c r="C76" s="17"/>
      <c r="D76" s="17"/>
      <c r="E76" s="16"/>
      <c r="F76" s="16"/>
      <c r="G76" s="16"/>
      <c r="H76" s="31" t="str">
        <f>IF(OR(Admin!E76="", Admin!D76=""),
    "",
    IF(Admin!C76="M",
        INDEX('Table B-1'!$C$9:$AX$31, MATCH(Admin!E76, 'Table B-1'!$A$9:$A$31, 0), MATCH(MIN(40,Admin!D76), 'Table B-1'!$C$4:$Z$4, 1)),
        IF(Admin!C76="F",
            INDEX('Table B-1'!$AA$9:$AX$31, MATCH(Admin!E76, 'Table B-1'!$A$9:$A$31, 0), MATCH(MIN(40,Admin!D76), 'Table B-1'!$AA$4:$AX$4, 1)),
            ""
        )
    )
)</f>
        <v/>
      </c>
      <c r="I76" s="31" t="str">
        <f t="shared" si="3"/>
        <v/>
      </c>
      <c r="J76" s="16"/>
      <c r="K76" s="16"/>
      <c r="L76" s="16"/>
      <c r="M76" s="29" t="str">
        <f t="shared" si="4"/>
        <v/>
      </c>
      <c r="N76" s="30" t="str">
        <f>IF(OR(Admin!F76="", Admin!M76=""),
    "",
    IF(Admin!C76="M",
        IFERROR(INDEX('Figure B-1 Male'!$C$4:$AJ$164, MATCH(Admin!F76, 'Figure B-1 Male'!$B$4:$B$164, 0), MATCH(Admin!M76, 'Figure B-1 Male'!$C$3:$AJ$3, 1)) / 100, ""),
        IF(Admin!C76="F",
            IFERROR(INDEX('Figure B-2 Female'!$C$4:$AJ$164, MATCH(Admin!F76, 'Figure B-2 Female'!$B$4:$B$164, 0), MATCH(Admin!M76, 'Figure B-2 Female'!$C$3:$AJ$3, 1)) / 100, ""),
            ""
        )
    )
)</f>
        <v/>
      </c>
      <c r="O76" s="33" t="str">
        <f>IF(OR(F76="", M76=""),
    "",
    IF(Admin!C76="M",
        (-26.97 - (0.12 * F76) + (1.99 * M76)) / 100,
        IF(Admin!C76="F",
            (-9.15 - (0.015 * F76) + (1.27 * M76)) / 100,
            ""
        )
    )
)</f>
        <v/>
      </c>
      <c r="P76" s="30" t="str">
        <f>IF(OR(Admin!I76="Pass", Admin!I76=""),
    "",
    IF(Admin!D76="",
        "",
        IF(Admin!C76="M",
            INDEX('Table B-2'!$D$7:$D$30, MATCH(MIN(40, Admin!D76), 'Table B-2'!$C$7:$C$30, 0)),
            IF(Admin!C76="F",
                INDEX('Table B-2'!$F$7:$F$30, MATCH(MIN(40, Admin!D76), 'Table B-2'!$E$7:$E$30, 0)),
                ""
            )
        )
    )
)</f>
        <v/>
      </c>
      <c r="Q76" s="31" t="str">
        <f t="shared" si="5"/>
        <v/>
      </c>
      <c r="R76" s="16"/>
      <c r="S76" s="16"/>
      <c r="T76" s="16"/>
      <c r="U76" s="16"/>
    </row>
    <row r="77" spans="1:21" x14ac:dyDescent="0.25">
      <c r="A77" s="16"/>
      <c r="B77" s="16"/>
      <c r="C77" s="17"/>
      <c r="D77" s="17"/>
      <c r="E77" s="16"/>
      <c r="F77" s="16"/>
      <c r="G77" s="16"/>
      <c r="H77" s="31" t="str">
        <f>IF(OR(Admin!E77="", Admin!D77=""),
    "",
    IF(Admin!C77="M",
        INDEX('Table B-1'!$C$9:$AX$31, MATCH(Admin!E77, 'Table B-1'!$A$9:$A$31, 0), MATCH(MIN(40,Admin!D77), 'Table B-1'!$C$4:$Z$4, 1)),
        IF(Admin!C77="F",
            INDEX('Table B-1'!$AA$9:$AX$31, MATCH(Admin!E77, 'Table B-1'!$A$9:$A$31, 0), MATCH(MIN(40,Admin!D77), 'Table B-1'!$AA$4:$AX$4, 1)),
            ""
        )
    )
)</f>
        <v/>
      </c>
      <c r="I77" s="31" t="str">
        <f t="shared" si="3"/>
        <v/>
      </c>
      <c r="J77" s="16"/>
      <c r="K77" s="16"/>
      <c r="L77" s="16"/>
      <c r="M77" s="29" t="str">
        <f t="shared" si="4"/>
        <v/>
      </c>
      <c r="N77" s="30" t="str">
        <f>IF(OR(Admin!F77="", Admin!M77=""),
    "",
    IF(Admin!C77="M",
        IFERROR(INDEX('Figure B-1 Male'!$C$4:$AJ$164, MATCH(Admin!F77, 'Figure B-1 Male'!$B$4:$B$164, 0), MATCH(Admin!M77, 'Figure B-1 Male'!$C$3:$AJ$3, 1)) / 100, ""),
        IF(Admin!C77="F",
            IFERROR(INDEX('Figure B-2 Female'!$C$4:$AJ$164, MATCH(Admin!F77, 'Figure B-2 Female'!$B$4:$B$164, 0), MATCH(Admin!M77, 'Figure B-2 Female'!$C$3:$AJ$3, 1)) / 100, ""),
            ""
        )
    )
)</f>
        <v/>
      </c>
      <c r="O77" s="33" t="str">
        <f>IF(OR(F77="", M77=""),
    "",
    IF(Admin!C77="M",
        (-26.97 - (0.12 * F77) + (1.99 * M77)) / 100,
        IF(Admin!C77="F",
            (-9.15 - (0.015 * F77) + (1.27 * M77)) / 100,
            ""
        )
    )
)</f>
        <v/>
      </c>
      <c r="P77" s="30" t="str">
        <f>IF(OR(Admin!I77="Pass", Admin!I77=""),
    "",
    IF(Admin!D77="",
        "",
        IF(Admin!C77="M",
            INDEX('Table B-2'!$D$7:$D$30, MATCH(MIN(40, Admin!D77), 'Table B-2'!$C$7:$C$30, 0)),
            IF(Admin!C77="F",
                INDEX('Table B-2'!$F$7:$F$30, MATCH(MIN(40, Admin!D77), 'Table B-2'!$E$7:$E$30, 0)),
                ""
            )
        )
    )
)</f>
        <v/>
      </c>
      <c r="Q77" s="31" t="str">
        <f t="shared" si="5"/>
        <v/>
      </c>
      <c r="R77" s="16"/>
      <c r="S77" s="16"/>
      <c r="T77" s="16"/>
      <c r="U77" s="16"/>
    </row>
    <row r="78" spans="1:21" x14ac:dyDescent="0.25">
      <c r="A78" s="16"/>
      <c r="B78" s="16"/>
      <c r="C78" s="17"/>
      <c r="D78" s="17"/>
      <c r="E78" s="16"/>
      <c r="F78" s="16"/>
      <c r="G78" s="16"/>
      <c r="H78" s="31" t="str">
        <f>IF(OR(Admin!E78="", Admin!D78=""),
    "",
    IF(Admin!C78="M",
        INDEX('Table B-1'!$C$9:$AX$31, MATCH(Admin!E78, 'Table B-1'!$A$9:$A$31, 0), MATCH(MIN(40,Admin!D78), 'Table B-1'!$C$4:$Z$4, 1)),
        IF(Admin!C78="F",
            INDEX('Table B-1'!$AA$9:$AX$31, MATCH(Admin!E78, 'Table B-1'!$A$9:$A$31, 0), MATCH(MIN(40,Admin!D78), 'Table B-1'!$AA$4:$AX$4, 1)),
            ""
        )
    )
)</f>
        <v/>
      </c>
      <c r="I78" s="31" t="str">
        <f t="shared" si="3"/>
        <v/>
      </c>
      <c r="J78" s="16"/>
      <c r="K78" s="16"/>
      <c r="L78" s="16"/>
      <c r="M78" s="29" t="str">
        <f t="shared" si="4"/>
        <v/>
      </c>
      <c r="N78" s="30" t="str">
        <f>IF(OR(Admin!F78="", Admin!M78=""),
    "",
    IF(Admin!C78="M",
        IFERROR(INDEX('Figure B-1 Male'!$C$4:$AJ$164, MATCH(Admin!F78, 'Figure B-1 Male'!$B$4:$B$164, 0), MATCH(Admin!M78, 'Figure B-1 Male'!$C$3:$AJ$3, 1)) / 100, ""),
        IF(Admin!C78="F",
            IFERROR(INDEX('Figure B-2 Female'!$C$4:$AJ$164, MATCH(Admin!F78, 'Figure B-2 Female'!$B$4:$B$164, 0), MATCH(Admin!M78, 'Figure B-2 Female'!$C$3:$AJ$3, 1)) / 100, ""),
            ""
        )
    )
)</f>
        <v/>
      </c>
      <c r="O78" s="33" t="str">
        <f>IF(OR(F78="", M78=""),
    "",
    IF(Admin!C78="M",
        (-26.97 - (0.12 * F78) + (1.99 * M78)) / 100,
        IF(Admin!C78="F",
            (-9.15 - (0.015 * F78) + (1.27 * M78)) / 100,
            ""
        )
    )
)</f>
        <v/>
      </c>
      <c r="P78" s="30" t="str">
        <f>IF(OR(Admin!I78="Pass", Admin!I78=""),
    "",
    IF(Admin!D78="",
        "",
        IF(Admin!C78="M",
            INDEX('Table B-2'!$D$7:$D$30, MATCH(MIN(40, Admin!D78), 'Table B-2'!$C$7:$C$30, 0)),
            IF(Admin!C78="F",
                INDEX('Table B-2'!$F$7:$F$30, MATCH(MIN(40, Admin!D78), 'Table B-2'!$E$7:$E$30, 0)),
                ""
            )
        )
    )
)</f>
        <v/>
      </c>
      <c r="Q78" s="31" t="str">
        <f t="shared" si="5"/>
        <v/>
      </c>
      <c r="R78" s="16"/>
      <c r="S78" s="16"/>
      <c r="T78" s="16"/>
      <c r="U78" s="16"/>
    </row>
    <row r="79" spans="1:21" x14ac:dyDescent="0.25">
      <c r="A79" s="16"/>
      <c r="B79" s="16"/>
      <c r="C79" s="17"/>
      <c r="D79" s="17"/>
      <c r="E79" s="16"/>
      <c r="F79" s="16"/>
      <c r="G79" s="16"/>
      <c r="H79" s="31" t="str">
        <f>IF(OR(Admin!E79="", Admin!D79=""),
    "",
    IF(Admin!C79="M",
        INDEX('Table B-1'!$C$9:$AX$31, MATCH(Admin!E79, 'Table B-1'!$A$9:$A$31, 0), MATCH(MIN(40,Admin!D79), 'Table B-1'!$C$4:$Z$4, 1)),
        IF(Admin!C79="F",
            INDEX('Table B-1'!$AA$9:$AX$31, MATCH(Admin!E79, 'Table B-1'!$A$9:$A$31, 0), MATCH(MIN(40,Admin!D79), 'Table B-1'!$AA$4:$AX$4, 1)),
            ""
        )
    )
)</f>
        <v/>
      </c>
      <c r="I79" s="31" t="str">
        <f t="shared" si="3"/>
        <v/>
      </c>
      <c r="J79" s="16"/>
      <c r="K79" s="16"/>
      <c r="L79" s="16"/>
      <c r="M79" s="29" t="str">
        <f t="shared" si="4"/>
        <v/>
      </c>
      <c r="N79" s="30" t="str">
        <f>IF(OR(Admin!F79="", Admin!M79=""),
    "",
    IF(Admin!C79="M",
        IFERROR(INDEX('Figure B-1 Male'!$C$4:$AJ$164, MATCH(Admin!F79, 'Figure B-1 Male'!$B$4:$B$164, 0), MATCH(Admin!M79, 'Figure B-1 Male'!$C$3:$AJ$3, 1)) / 100, ""),
        IF(Admin!C79="F",
            IFERROR(INDEX('Figure B-2 Female'!$C$4:$AJ$164, MATCH(Admin!F79, 'Figure B-2 Female'!$B$4:$B$164, 0), MATCH(Admin!M79, 'Figure B-2 Female'!$C$3:$AJ$3, 1)) / 100, ""),
            ""
        )
    )
)</f>
        <v/>
      </c>
      <c r="O79" s="33" t="str">
        <f>IF(OR(F79="", M79=""),
    "",
    IF(Admin!C79="M",
        (-26.97 - (0.12 * F79) + (1.99 * M79)) / 100,
        IF(Admin!C79="F",
            (-9.15 - (0.015 * F79) + (1.27 * M79)) / 100,
            ""
        )
    )
)</f>
        <v/>
      </c>
      <c r="P79" s="30" t="str">
        <f>IF(OR(Admin!I79="Pass", Admin!I79=""),
    "",
    IF(Admin!D79="",
        "",
        IF(Admin!C79="M",
            INDEX('Table B-2'!$D$7:$D$30, MATCH(MIN(40, Admin!D79), 'Table B-2'!$C$7:$C$30, 0)),
            IF(Admin!C79="F",
                INDEX('Table B-2'!$F$7:$F$30, MATCH(MIN(40, Admin!D79), 'Table B-2'!$E$7:$E$30, 0)),
                ""
            )
        )
    )
)</f>
        <v/>
      </c>
      <c r="Q79" s="31" t="str">
        <f t="shared" si="5"/>
        <v/>
      </c>
      <c r="R79" s="16"/>
      <c r="S79" s="16"/>
      <c r="T79" s="16"/>
      <c r="U79" s="16"/>
    </row>
    <row r="80" spans="1:21" x14ac:dyDescent="0.25">
      <c r="A80" s="16"/>
      <c r="B80" s="16"/>
      <c r="C80" s="17"/>
      <c r="D80" s="17"/>
      <c r="E80" s="16"/>
      <c r="F80" s="16"/>
      <c r="G80" s="16"/>
      <c r="H80" s="31" t="str">
        <f>IF(OR(Admin!E80="", Admin!D80=""),
    "",
    IF(Admin!C80="M",
        INDEX('Table B-1'!$C$9:$AX$31, MATCH(Admin!E80, 'Table B-1'!$A$9:$A$31, 0), MATCH(MIN(40,Admin!D80), 'Table B-1'!$C$4:$Z$4, 1)),
        IF(Admin!C80="F",
            INDEX('Table B-1'!$AA$9:$AX$31, MATCH(Admin!E80, 'Table B-1'!$A$9:$A$31, 0), MATCH(MIN(40,Admin!D80), 'Table B-1'!$AA$4:$AX$4, 1)),
            ""
        )
    )
)</f>
        <v/>
      </c>
      <c r="I80" s="31" t="str">
        <f t="shared" si="3"/>
        <v/>
      </c>
      <c r="J80" s="16"/>
      <c r="K80" s="16"/>
      <c r="L80" s="16"/>
      <c r="M80" s="29" t="str">
        <f t="shared" si="4"/>
        <v/>
      </c>
      <c r="N80" s="30" t="str">
        <f>IF(OR(Admin!F80="", Admin!M80=""),
    "",
    IF(Admin!C80="M",
        IFERROR(INDEX('Figure B-1 Male'!$C$4:$AJ$164, MATCH(Admin!F80, 'Figure B-1 Male'!$B$4:$B$164, 0), MATCH(Admin!M80, 'Figure B-1 Male'!$C$3:$AJ$3, 1)) / 100, ""),
        IF(Admin!C80="F",
            IFERROR(INDEX('Figure B-2 Female'!$C$4:$AJ$164, MATCH(Admin!F80, 'Figure B-2 Female'!$B$4:$B$164, 0), MATCH(Admin!M80, 'Figure B-2 Female'!$C$3:$AJ$3, 1)) / 100, ""),
            ""
        )
    )
)</f>
        <v/>
      </c>
      <c r="O80" s="33" t="str">
        <f>IF(OR(F80="", M80=""),
    "",
    IF(Admin!C80="M",
        (-26.97 - (0.12 * F80) + (1.99 * M80)) / 100,
        IF(Admin!C80="F",
            (-9.15 - (0.015 * F80) + (1.27 * M80)) / 100,
            ""
        )
    )
)</f>
        <v/>
      </c>
      <c r="P80" s="30" t="str">
        <f>IF(OR(Admin!I80="Pass", Admin!I80=""),
    "",
    IF(Admin!D80="",
        "",
        IF(Admin!C80="M",
            INDEX('Table B-2'!$D$7:$D$30, MATCH(MIN(40, Admin!D80), 'Table B-2'!$C$7:$C$30, 0)),
            IF(Admin!C80="F",
                INDEX('Table B-2'!$F$7:$F$30, MATCH(MIN(40, Admin!D80), 'Table B-2'!$E$7:$E$30, 0)),
                ""
            )
        )
    )
)</f>
        <v/>
      </c>
      <c r="Q80" s="31" t="str">
        <f t="shared" si="5"/>
        <v/>
      </c>
      <c r="R80" s="16"/>
      <c r="S80" s="16"/>
      <c r="T80" s="16"/>
      <c r="U80" s="16"/>
    </row>
    <row r="81" spans="1:21" x14ac:dyDescent="0.25">
      <c r="A81" s="16"/>
      <c r="B81" s="16"/>
      <c r="C81" s="17"/>
      <c r="D81" s="17"/>
      <c r="E81" s="16"/>
      <c r="F81" s="16"/>
      <c r="G81" s="16"/>
      <c r="H81" s="31" t="str">
        <f>IF(OR(Admin!E81="", Admin!D81=""),
    "",
    IF(Admin!C81="M",
        INDEX('Table B-1'!$C$9:$AX$31, MATCH(Admin!E81, 'Table B-1'!$A$9:$A$31, 0), MATCH(MIN(40,Admin!D81), 'Table B-1'!$C$4:$Z$4, 1)),
        IF(Admin!C81="F",
            INDEX('Table B-1'!$AA$9:$AX$31, MATCH(Admin!E81, 'Table B-1'!$A$9:$A$31, 0), MATCH(MIN(40,Admin!D81), 'Table B-1'!$AA$4:$AX$4, 1)),
            ""
        )
    )
)</f>
        <v/>
      </c>
      <c r="I81" s="31" t="str">
        <f t="shared" si="3"/>
        <v/>
      </c>
      <c r="J81" s="16"/>
      <c r="K81" s="16"/>
      <c r="L81" s="16"/>
      <c r="M81" s="29" t="str">
        <f t="shared" si="4"/>
        <v/>
      </c>
      <c r="N81" s="30" t="str">
        <f>IF(OR(Admin!F81="", Admin!M81=""),
    "",
    IF(Admin!C81="M",
        IFERROR(INDEX('Figure B-1 Male'!$C$4:$AJ$164, MATCH(Admin!F81, 'Figure B-1 Male'!$B$4:$B$164, 0), MATCH(Admin!M81, 'Figure B-1 Male'!$C$3:$AJ$3, 1)) / 100, ""),
        IF(Admin!C81="F",
            IFERROR(INDEX('Figure B-2 Female'!$C$4:$AJ$164, MATCH(Admin!F81, 'Figure B-2 Female'!$B$4:$B$164, 0), MATCH(Admin!M81, 'Figure B-2 Female'!$C$3:$AJ$3, 1)) / 100, ""),
            ""
        )
    )
)</f>
        <v/>
      </c>
      <c r="O81" s="33" t="str">
        <f>IF(OR(F81="", M81=""),
    "",
    IF(Admin!C81="M",
        (-26.97 - (0.12 * F81) + (1.99 * M81)) / 100,
        IF(Admin!C81="F",
            (-9.15 - (0.015 * F81) + (1.27 * M81)) / 100,
            ""
        )
    )
)</f>
        <v/>
      </c>
      <c r="P81" s="30" t="str">
        <f>IF(OR(Admin!I81="Pass", Admin!I81=""),
    "",
    IF(Admin!D81="",
        "",
        IF(Admin!C81="M",
            INDEX('Table B-2'!$D$7:$D$30, MATCH(MIN(40, Admin!D81), 'Table B-2'!$C$7:$C$30, 0)),
            IF(Admin!C81="F",
                INDEX('Table B-2'!$F$7:$F$30, MATCH(MIN(40, Admin!D81), 'Table B-2'!$E$7:$E$30, 0)),
                ""
            )
        )
    )
)</f>
        <v/>
      </c>
      <c r="Q81" s="31" t="str">
        <f t="shared" si="5"/>
        <v/>
      </c>
      <c r="R81" s="16"/>
      <c r="S81" s="16"/>
      <c r="T81" s="16"/>
      <c r="U81" s="16"/>
    </row>
    <row r="82" spans="1:21" x14ac:dyDescent="0.25">
      <c r="A82" s="16"/>
      <c r="B82" s="16"/>
      <c r="C82" s="17"/>
      <c r="D82" s="17"/>
      <c r="E82" s="16"/>
      <c r="F82" s="16"/>
      <c r="G82" s="16"/>
      <c r="H82" s="31" t="str">
        <f>IF(OR(Admin!E82="", Admin!D82=""),
    "",
    IF(Admin!C82="M",
        INDEX('Table B-1'!$C$9:$AX$31, MATCH(Admin!E82, 'Table B-1'!$A$9:$A$31, 0), MATCH(MIN(40,Admin!D82), 'Table B-1'!$C$4:$Z$4, 1)),
        IF(Admin!C82="F",
            INDEX('Table B-1'!$AA$9:$AX$31, MATCH(Admin!E82, 'Table B-1'!$A$9:$A$31, 0), MATCH(MIN(40,Admin!D82), 'Table B-1'!$AA$4:$AX$4, 1)),
            ""
        )
    )
)</f>
        <v/>
      </c>
      <c r="I82" s="31" t="str">
        <f t="shared" si="3"/>
        <v/>
      </c>
      <c r="J82" s="16"/>
      <c r="K82" s="16"/>
      <c r="L82" s="16"/>
      <c r="M82" s="29" t="str">
        <f t="shared" si="4"/>
        <v/>
      </c>
      <c r="N82" s="30" t="str">
        <f>IF(OR(Admin!F82="", Admin!M82=""),
    "",
    IF(Admin!C82="M",
        IFERROR(INDEX('Figure B-1 Male'!$C$4:$AJ$164, MATCH(Admin!F82, 'Figure B-1 Male'!$B$4:$B$164, 0), MATCH(Admin!M82, 'Figure B-1 Male'!$C$3:$AJ$3, 1)) / 100, ""),
        IF(Admin!C82="F",
            IFERROR(INDEX('Figure B-2 Female'!$C$4:$AJ$164, MATCH(Admin!F82, 'Figure B-2 Female'!$B$4:$B$164, 0), MATCH(Admin!M82, 'Figure B-2 Female'!$C$3:$AJ$3, 1)) / 100, ""),
            ""
        )
    )
)</f>
        <v/>
      </c>
      <c r="O82" s="33" t="str">
        <f>IF(OR(F82="", M82=""),
    "",
    IF(Admin!C82="M",
        (-26.97 - (0.12 * F82) + (1.99 * M82)) / 100,
        IF(Admin!C82="F",
            (-9.15 - (0.015 * F82) + (1.27 * M82)) / 100,
            ""
        )
    )
)</f>
        <v/>
      </c>
      <c r="P82" s="30" t="str">
        <f>IF(OR(Admin!I82="Pass", Admin!I82=""),
    "",
    IF(Admin!D82="",
        "",
        IF(Admin!C82="M",
            INDEX('Table B-2'!$D$7:$D$30, MATCH(MIN(40, Admin!D82), 'Table B-2'!$C$7:$C$30, 0)),
            IF(Admin!C82="F",
                INDEX('Table B-2'!$F$7:$F$30, MATCH(MIN(40, Admin!D82), 'Table B-2'!$E$7:$E$30, 0)),
                ""
            )
        )
    )
)</f>
        <v/>
      </c>
      <c r="Q82" s="31" t="str">
        <f t="shared" si="5"/>
        <v/>
      </c>
      <c r="R82" s="16"/>
      <c r="S82" s="16"/>
      <c r="T82" s="16"/>
      <c r="U82" s="16"/>
    </row>
    <row r="83" spans="1:21" x14ac:dyDescent="0.25">
      <c r="A83" s="16"/>
      <c r="B83" s="16"/>
      <c r="C83" s="17"/>
      <c r="D83" s="17"/>
      <c r="E83" s="16"/>
      <c r="F83" s="16"/>
      <c r="G83" s="16"/>
      <c r="H83" s="31" t="str">
        <f>IF(OR(Admin!E83="", Admin!D83=""),
    "",
    IF(Admin!C83="M",
        INDEX('Table B-1'!$C$9:$AX$31, MATCH(Admin!E83, 'Table B-1'!$A$9:$A$31, 0), MATCH(MIN(40,Admin!D83), 'Table B-1'!$C$4:$Z$4, 1)),
        IF(Admin!C83="F",
            INDEX('Table B-1'!$AA$9:$AX$31, MATCH(Admin!E83, 'Table B-1'!$A$9:$A$31, 0), MATCH(MIN(40,Admin!D83), 'Table B-1'!$AA$4:$AX$4, 1)),
            ""
        )
    )
)</f>
        <v/>
      </c>
      <c r="I83" s="31" t="str">
        <f t="shared" si="3"/>
        <v/>
      </c>
      <c r="J83" s="16"/>
      <c r="K83" s="16"/>
      <c r="L83" s="16"/>
      <c r="M83" s="29" t="str">
        <f t="shared" si="4"/>
        <v/>
      </c>
      <c r="N83" s="30" t="str">
        <f>IF(OR(Admin!F83="", Admin!M83=""),
    "",
    IF(Admin!C83="M",
        IFERROR(INDEX('Figure B-1 Male'!$C$4:$AJ$164, MATCH(Admin!F83, 'Figure B-1 Male'!$B$4:$B$164, 0), MATCH(Admin!M83, 'Figure B-1 Male'!$C$3:$AJ$3, 1)) / 100, ""),
        IF(Admin!C83="F",
            IFERROR(INDEX('Figure B-2 Female'!$C$4:$AJ$164, MATCH(Admin!F83, 'Figure B-2 Female'!$B$4:$B$164, 0), MATCH(Admin!M83, 'Figure B-2 Female'!$C$3:$AJ$3, 1)) / 100, ""),
            ""
        )
    )
)</f>
        <v/>
      </c>
      <c r="O83" s="33" t="str">
        <f>IF(OR(F83="", M83=""),
    "",
    IF(Admin!C83="M",
        (-26.97 - (0.12 * F83) + (1.99 * M83)) / 100,
        IF(Admin!C83="F",
            (-9.15 - (0.015 * F83) + (1.27 * M83)) / 100,
            ""
        )
    )
)</f>
        <v/>
      </c>
      <c r="P83" s="30" t="str">
        <f>IF(OR(Admin!I83="Pass", Admin!I83=""),
    "",
    IF(Admin!D83="",
        "",
        IF(Admin!C83="M",
            INDEX('Table B-2'!$D$7:$D$30, MATCH(MIN(40, Admin!D83), 'Table B-2'!$C$7:$C$30, 0)),
            IF(Admin!C83="F",
                INDEX('Table B-2'!$F$7:$F$30, MATCH(MIN(40, Admin!D83), 'Table B-2'!$E$7:$E$30, 0)),
                ""
            )
        )
    )
)</f>
        <v/>
      </c>
      <c r="Q83" s="31" t="str">
        <f t="shared" si="5"/>
        <v/>
      </c>
      <c r="R83" s="16"/>
      <c r="S83" s="16"/>
      <c r="T83" s="16"/>
      <c r="U83" s="16"/>
    </row>
    <row r="84" spans="1:21" x14ac:dyDescent="0.25">
      <c r="A84" s="16"/>
      <c r="B84" s="16"/>
      <c r="C84" s="17"/>
      <c r="D84" s="17"/>
      <c r="E84" s="16"/>
      <c r="F84" s="16"/>
      <c r="G84" s="16"/>
      <c r="H84" s="31" t="str">
        <f>IF(OR(Admin!E84="", Admin!D84=""),
    "",
    IF(Admin!C84="M",
        INDEX('Table B-1'!$C$9:$AX$31, MATCH(Admin!E84, 'Table B-1'!$A$9:$A$31, 0), MATCH(MIN(40,Admin!D84), 'Table B-1'!$C$4:$Z$4, 1)),
        IF(Admin!C84="F",
            INDEX('Table B-1'!$AA$9:$AX$31, MATCH(Admin!E84, 'Table B-1'!$A$9:$A$31, 0), MATCH(MIN(40,Admin!D84), 'Table B-1'!$AA$4:$AX$4, 1)),
            ""
        )
    )
)</f>
        <v/>
      </c>
      <c r="I84" s="31" t="str">
        <f t="shared" si="3"/>
        <v/>
      </c>
      <c r="J84" s="16"/>
      <c r="K84" s="16"/>
      <c r="L84" s="16"/>
      <c r="M84" s="29" t="str">
        <f t="shared" si="4"/>
        <v/>
      </c>
      <c r="N84" s="30" t="str">
        <f>IF(OR(Admin!F84="", Admin!M84=""),
    "",
    IF(Admin!C84="M",
        IFERROR(INDEX('Figure B-1 Male'!$C$4:$AJ$164, MATCH(Admin!F84, 'Figure B-1 Male'!$B$4:$B$164, 0), MATCH(Admin!M84, 'Figure B-1 Male'!$C$3:$AJ$3, 1)) / 100, ""),
        IF(Admin!C84="F",
            IFERROR(INDEX('Figure B-2 Female'!$C$4:$AJ$164, MATCH(Admin!F84, 'Figure B-2 Female'!$B$4:$B$164, 0), MATCH(Admin!M84, 'Figure B-2 Female'!$C$3:$AJ$3, 1)) / 100, ""),
            ""
        )
    )
)</f>
        <v/>
      </c>
      <c r="O84" s="33" t="str">
        <f>IF(OR(F84="", M84=""),
    "",
    IF(Admin!C84="M",
        (-26.97 - (0.12 * F84) + (1.99 * M84)) / 100,
        IF(Admin!C84="F",
            (-9.15 - (0.015 * F84) + (1.27 * M84)) / 100,
            ""
        )
    )
)</f>
        <v/>
      </c>
      <c r="P84" s="30" t="str">
        <f>IF(OR(Admin!I84="Pass", Admin!I84=""),
    "",
    IF(Admin!D84="",
        "",
        IF(Admin!C84="M",
            INDEX('Table B-2'!$D$7:$D$30, MATCH(MIN(40, Admin!D84), 'Table B-2'!$C$7:$C$30, 0)),
            IF(Admin!C84="F",
                INDEX('Table B-2'!$F$7:$F$30, MATCH(MIN(40, Admin!D84), 'Table B-2'!$E$7:$E$30, 0)),
                ""
            )
        )
    )
)</f>
        <v/>
      </c>
      <c r="Q84" s="31" t="str">
        <f t="shared" si="5"/>
        <v/>
      </c>
      <c r="R84" s="16"/>
      <c r="S84" s="16"/>
      <c r="T84" s="16"/>
      <c r="U84" s="16"/>
    </row>
    <row r="85" spans="1:21" x14ac:dyDescent="0.25">
      <c r="A85" s="16"/>
      <c r="B85" s="16"/>
      <c r="C85" s="17"/>
      <c r="D85" s="17"/>
      <c r="E85" s="16"/>
      <c r="F85" s="16"/>
      <c r="G85" s="16"/>
      <c r="H85" s="31" t="str">
        <f>IF(OR(Admin!E85="", Admin!D85=""),
    "",
    IF(Admin!C85="M",
        INDEX('Table B-1'!$C$9:$AX$31, MATCH(Admin!E85, 'Table B-1'!$A$9:$A$31, 0), MATCH(MIN(40,Admin!D85), 'Table B-1'!$C$4:$Z$4, 1)),
        IF(Admin!C85="F",
            INDEX('Table B-1'!$AA$9:$AX$31, MATCH(Admin!E85, 'Table B-1'!$A$9:$A$31, 0), MATCH(MIN(40,Admin!D85), 'Table B-1'!$AA$4:$AX$4, 1)),
            ""
        )
    )
)</f>
        <v/>
      </c>
      <c r="I85" s="31" t="str">
        <f t="shared" si="3"/>
        <v/>
      </c>
      <c r="J85" s="16"/>
      <c r="K85" s="16"/>
      <c r="L85" s="16"/>
      <c r="M85" s="29" t="str">
        <f t="shared" si="4"/>
        <v/>
      </c>
      <c r="N85" s="30" t="str">
        <f>IF(OR(Admin!F85="", Admin!M85=""),
    "",
    IF(Admin!C85="M",
        IFERROR(INDEX('Figure B-1 Male'!$C$4:$AJ$164, MATCH(Admin!F85, 'Figure B-1 Male'!$B$4:$B$164, 0), MATCH(Admin!M85, 'Figure B-1 Male'!$C$3:$AJ$3, 1)) / 100, ""),
        IF(Admin!C85="F",
            IFERROR(INDEX('Figure B-2 Female'!$C$4:$AJ$164, MATCH(Admin!F85, 'Figure B-2 Female'!$B$4:$B$164, 0), MATCH(Admin!M85, 'Figure B-2 Female'!$C$3:$AJ$3, 1)) / 100, ""),
            ""
        )
    )
)</f>
        <v/>
      </c>
      <c r="O85" s="33" t="str">
        <f>IF(OR(F85="", M85=""),
    "",
    IF(Admin!C85="M",
        (-26.97 - (0.12 * F85) + (1.99 * M85)) / 100,
        IF(Admin!C85="F",
            (-9.15 - (0.015 * F85) + (1.27 * M85)) / 100,
            ""
        )
    )
)</f>
        <v/>
      </c>
      <c r="P85" s="30" t="str">
        <f>IF(OR(Admin!I85="Pass", Admin!I85=""),
    "",
    IF(Admin!D85="",
        "",
        IF(Admin!C85="M",
            INDEX('Table B-2'!$D$7:$D$30, MATCH(MIN(40, Admin!D85), 'Table B-2'!$C$7:$C$30, 0)),
            IF(Admin!C85="F",
                INDEX('Table B-2'!$F$7:$F$30, MATCH(MIN(40, Admin!D85), 'Table B-2'!$E$7:$E$30, 0)),
                ""
            )
        )
    )
)</f>
        <v/>
      </c>
      <c r="Q85" s="31" t="str">
        <f t="shared" si="5"/>
        <v/>
      </c>
      <c r="R85" s="16"/>
      <c r="S85" s="16"/>
      <c r="T85" s="16"/>
      <c r="U85" s="16"/>
    </row>
    <row r="86" spans="1:21" x14ac:dyDescent="0.25">
      <c r="A86" s="16"/>
      <c r="B86" s="16"/>
      <c r="C86" s="17"/>
      <c r="D86" s="17"/>
      <c r="E86" s="16"/>
      <c r="F86" s="16"/>
      <c r="G86" s="16"/>
      <c r="H86" s="31" t="str">
        <f>IF(OR(Admin!E86="", Admin!D86=""),
    "",
    IF(Admin!C86="M",
        INDEX('Table B-1'!$C$9:$AX$31, MATCH(Admin!E86, 'Table B-1'!$A$9:$A$31, 0), MATCH(MIN(40,Admin!D86), 'Table B-1'!$C$4:$Z$4, 1)),
        IF(Admin!C86="F",
            INDEX('Table B-1'!$AA$9:$AX$31, MATCH(Admin!E86, 'Table B-1'!$A$9:$A$31, 0), MATCH(MIN(40,Admin!D86), 'Table B-1'!$AA$4:$AX$4, 1)),
            ""
        )
    )
)</f>
        <v/>
      </c>
      <c r="I86" s="31" t="str">
        <f t="shared" si="3"/>
        <v/>
      </c>
      <c r="J86" s="16"/>
      <c r="K86" s="16"/>
      <c r="L86" s="16"/>
      <c r="M86" s="29" t="str">
        <f t="shared" si="4"/>
        <v/>
      </c>
      <c r="N86" s="30" t="str">
        <f>IF(OR(Admin!F86="", Admin!M86=""),
    "",
    IF(Admin!C86="M",
        IFERROR(INDEX('Figure B-1 Male'!$C$4:$AJ$164, MATCH(Admin!F86, 'Figure B-1 Male'!$B$4:$B$164, 0), MATCH(Admin!M86, 'Figure B-1 Male'!$C$3:$AJ$3, 1)) / 100, ""),
        IF(Admin!C86="F",
            IFERROR(INDEX('Figure B-2 Female'!$C$4:$AJ$164, MATCH(Admin!F86, 'Figure B-2 Female'!$B$4:$B$164, 0), MATCH(Admin!M86, 'Figure B-2 Female'!$C$3:$AJ$3, 1)) / 100, ""),
            ""
        )
    )
)</f>
        <v/>
      </c>
      <c r="O86" s="33" t="str">
        <f>IF(OR(F86="", M86=""),
    "",
    IF(Admin!C86="M",
        (-26.97 - (0.12 * F86) + (1.99 * M86)) / 100,
        IF(Admin!C86="F",
            (-9.15 - (0.015 * F86) + (1.27 * M86)) / 100,
            ""
        )
    )
)</f>
        <v/>
      </c>
      <c r="P86" s="30" t="str">
        <f>IF(OR(Admin!I86="Pass", Admin!I86=""),
    "",
    IF(Admin!D86="",
        "",
        IF(Admin!C86="M",
            INDEX('Table B-2'!$D$7:$D$30, MATCH(MIN(40, Admin!D86), 'Table B-2'!$C$7:$C$30, 0)),
            IF(Admin!C86="F",
                INDEX('Table B-2'!$F$7:$F$30, MATCH(MIN(40, Admin!D86), 'Table B-2'!$E$7:$E$30, 0)),
                ""
            )
        )
    )
)</f>
        <v/>
      </c>
      <c r="Q86" s="31" t="str">
        <f t="shared" si="5"/>
        <v/>
      </c>
      <c r="R86" s="16"/>
      <c r="S86" s="16"/>
      <c r="T86" s="16"/>
      <c r="U86" s="16"/>
    </row>
    <row r="87" spans="1:21" x14ac:dyDescent="0.25">
      <c r="A87" s="16"/>
      <c r="B87" s="16"/>
      <c r="C87" s="17"/>
      <c r="D87" s="17"/>
      <c r="E87" s="16"/>
      <c r="F87" s="16"/>
      <c r="G87" s="16"/>
      <c r="H87" s="31" t="str">
        <f>IF(OR(Admin!E87="", Admin!D87=""),
    "",
    IF(Admin!C87="M",
        INDEX('Table B-1'!$C$9:$AX$31, MATCH(Admin!E87, 'Table B-1'!$A$9:$A$31, 0), MATCH(MIN(40,Admin!D87), 'Table B-1'!$C$4:$Z$4, 1)),
        IF(Admin!C87="F",
            INDEX('Table B-1'!$AA$9:$AX$31, MATCH(Admin!E87, 'Table B-1'!$A$9:$A$31, 0), MATCH(MIN(40,Admin!D87), 'Table B-1'!$AA$4:$AX$4, 1)),
            ""
        )
    )
)</f>
        <v/>
      </c>
      <c r="I87" s="31" t="str">
        <f t="shared" si="3"/>
        <v/>
      </c>
      <c r="J87" s="16"/>
      <c r="K87" s="16"/>
      <c r="L87" s="16"/>
      <c r="M87" s="29" t="str">
        <f t="shared" si="4"/>
        <v/>
      </c>
      <c r="N87" s="30" t="str">
        <f>IF(OR(Admin!F87="", Admin!M87=""),
    "",
    IF(Admin!C87="M",
        IFERROR(INDEX('Figure B-1 Male'!$C$4:$AJ$164, MATCH(Admin!F87, 'Figure B-1 Male'!$B$4:$B$164, 0), MATCH(Admin!M87, 'Figure B-1 Male'!$C$3:$AJ$3, 1)) / 100, ""),
        IF(Admin!C87="F",
            IFERROR(INDEX('Figure B-2 Female'!$C$4:$AJ$164, MATCH(Admin!F87, 'Figure B-2 Female'!$B$4:$B$164, 0), MATCH(Admin!M87, 'Figure B-2 Female'!$C$3:$AJ$3, 1)) / 100, ""),
            ""
        )
    )
)</f>
        <v/>
      </c>
      <c r="O87" s="33" t="str">
        <f>IF(OR(F87="", M87=""),
    "",
    IF(Admin!C87="M",
        (-26.97 - (0.12 * F87) + (1.99 * M87)) / 100,
        IF(Admin!C87="F",
            (-9.15 - (0.015 * F87) + (1.27 * M87)) / 100,
            ""
        )
    )
)</f>
        <v/>
      </c>
      <c r="P87" s="30" t="str">
        <f>IF(OR(Admin!I87="Pass", Admin!I87=""),
    "",
    IF(Admin!D87="",
        "",
        IF(Admin!C87="M",
            INDEX('Table B-2'!$D$7:$D$30, MATCH(MIN(40, Admin!D87), 'Table B-2'!$C$7:$C$30, 0)),
            IF(Admin!C87="F",
                INDEX('Table B-2'!$F$7:$F$30, MATCH(MIN(40, Admin!D87), 'Table B-2'!$E$7:$E$30, 0)),
                ""
            )
        )
    )
)</f>
        <v/>
      </c>
      <c r="Q87" s="31" t="str">
        <f t="shared" si="5"/>
        <v/>
      </c>
      <c r="R87" s="16"/>
      <c r="S87" s="16"/>
      <c r="T87" s="16"/>
      <c r="U87" s="16"/>
    </row>
    <row r="88" spans="1:21" x14ac:dyDescent="0.25">
      <c r="A88" s="16"/>
      <c r="B88" s="16"/>
      <c r="C88" s="17"/>
      <c r="D88" s="17"/>
      <c r="E88" s="16"/>
      <c r="F88" s="16"/>
      <c r="G88" s="16"/>
      <c r="H88" s="31" t="str">
        <f>IF(OR(Admin!E88="", Admin!D88=""),
    "",
    IF(Admin!C88="M",
        INDEX('Table B-1'!$C$9:$AX$31, MATCH(Admin!E88, 'Table B-1'!$A$9:$A$31, 0), MATCH(MIN(40,Admin!D88), 'Table B-1'!$C$4:$Z$4, 1)),
        IF(Admin!C88="F",
            INDEX('Table B-1'!$AA$9:$AX$31, MATCH(Admin!E88, 'Table B-1'!$A$9:$A$31, 0), MATCH(MIN(40,Admin!D88), 'Table B-1'!$AA$4:$AX$4, 1)),
            ""
        )
    )
)</f>
        <v/>
      </c>
      <c r="I88" s="31" t="str">
        <f t="shared" si="3"/>
        <v/>
      </c>
      <c r="J88" s="16"/>
      <c r="K88" s="16"/>
      <c r="L88" s="16"/>
      <c r="M88" s="29" t="str">
        <f t="shared" si="4"/>
        <v/>
      </c>
      <c r="N88" s="30" t="str">
        <f>IF(OR(Admin!F88="", Admin!M88=""),
    "",
    IF(Admin!C88="M",
        IFERROR(INDEX('Figure B-1 Male'!$C$4:$AJ$164, MATCH(Admin!F88, 'Figure B-1 Male'!$B$4:$B$164, 0), MATCH(Admin!M88, 'Figure B-1 Male'!$C$3:$AJ$3, 1)) / 100, ""),
        IF(Admin!C88="F",
            IFERROR(INDEX('Figure B-2 Female'!$C$4:$AJ$164, MATCH(Admin!F88, 'Figure B-2 Female'!$B$4:$B$164, 0), MATCH(Admin!M88, 'Figure B-2 Female'!$C$3:$AJ$3, 1)) / 100, ""),
            ""
        )
    )
)</f>
        <v/>
      </c>
      <c r="O88" s="33" t="str">
        <f>IF(OR(F88="", M88=""),
    "",
    IF(Admin!C88="M",
        (-26.97 - (0.12 * F88) + (1.99 * M88)) / 100,
        IF(Admin!C88="F",
            (-9.15 - (0.015 * F88) + (1.27 * M88)) / 100,
            ""
        )
    )
)</f>
        <v/>
      </c>
      <c r="P88" s="30" t="str">
        <f>IF(OR(Admin!I88="Pass", Admin!I88=""),
    "",
    IF(Admin!D88="",
        "",
        IF(Admin!C88="M",
            INDEX('Table B-2'!$D$7:$D$30, MATCH(MIN(40, Admin!D88), 'Table B-2'!$C$7:$C$30, 0)),
            IF(Admin!C88="F",
                INDEX('Table B-2'!$F$7:$F$30, MATCH(MIN(40, Admin!D88), 'Table B-2'!$E$7:$E$30, 0)),
                ""
            )
        )
    )
)</f>
        <v/>
      </c>
      <c r="Q88" s="31" t="str">
        <f t="shared" si="5"/>
        <v/>
      </c>
      <c r="R88" s="16"/>
      <c r="S88" s="16"/>
      <c r="T88" s="16"/>
      <c r="U88" s="16"/>
    </row>
    <row r="89" spans="1:21" x14ac:dyDescent="0.25">
      <c r="A89" s="16"/>
      <c r="B89" s="16"/>
      <c r="C89" s="17"/>
      <c r="D89" s="17"/>
      <c r="E89" s="16"/>
      <c r="F89" s="16"/>
      <c r="G89" s="16"/>
      <c r="H89" s="31" t="str">
        <f>IF(OR(Admin!E89="", Admin!D89=""),
    "",
    IF(Admin!C89="M",
        INDEX('Table B-1'!$C$9:$AX$31, MATCH(Admin!E89, 'Table B-1'!$A$9:$A$31, 0), MATCH(MIN(40,Admin!D89), 'Table B-1'!$C$4:$Z$4, 1)),
        IF(Admin!C89="F",
            INDEX('Table B-1'!$AA$9:$AX$31, MATCH(Admin!E89, 'Table B-1'!$A$9:$A$31, 0), MATCH(MIN(40,Admin!D89), 'Table B-1'!$AA$4:$AX$4, 1)),
            ""
        )
    )
)</f>
        <v/>
      </c>
      <c r="I89" s="31" t="str">
        <f t="shared" si="3"/>
        <v/>
      </c>
      <c r="J89" s="16"/>
      <c r="K89" s="16"/>
      <c r="L89" s="16"/>
      <c r="M89" s="29" t="str">
        <f t="shared" si="4"/>
        <v/>
      </c>
      <c r="N89" s="30" t="str">
        <f>IF(OR(Admin!F89="", Admin!M89=""),
    "",
    IF(Admin!C89="M",
        IFERROR(INDEX('Figure B-1 Male'!$C$4:$AJ$164, MATCH(Admin!F89, 'Figure B-1 Male'!$B$4:$B$164, 0), MATCH(Admin!M89, 'Figure B-1 Male'!$C$3:$AJ$3, 1)) / 100, ""),
        IF(Admin!C89="F",
            IFERROR(INDEX('Figure B-2 Female'!$C$4:$AJ$164, MATCH(Admin!F89, 'Figure B-2 Female'!$B$4:$B$164, 0), MATCH(Admin!M89, 'Figure B-2 Female'!$C$3:$AJ$3, 1)) / 100, ""),
            ""
        )
    )
)</f>
        <v/>
      </c>
      <c r="O89" s="33" t="str">
        <f>IF(OR(F89="", M89=""),
    "",
    IF(Admin!C89="M",
        (-26.97 - (0.12 * F89) + (1.99 * M89)) / 100,
        IF(Admin!C89="F",
            (-9.15 - (0.015 * F89) + (1.27 * M89)) / 100,
            ""
        )
    )
)</f>
        <v/>
      </c>
      <c r="P89" s="30" t="str">
        <f>IF(OR(Admin!I89="Pass", Admin!I89=""),
    "",
    IF(Admin!D89="",
        "",
        IF(Admin!C89="M",
            INDEX('Table B-2'!$D$7:$D$30, MATCH(MIN(40, Admin!D89), 'Table B-2'!$C$7:$C$30, 0)),
            IF(Admin!C89="F",
                INDEX('Table B-2'!$F$7:$F$30, MATCH(MIN(40, Admin!D89), 'Table B-2'!$E$7:$E$30, 0)),
                ""
            )
        )
    )
)</f>
        <v/>
      </c>
      <c r="Q89" s="31" t="str">
        <f t="shared" si="5"/>
        <v/>
      </c>
      <c r="R89" s="16"/>
      <c r="S89" s="16"/>
      <c r="T89" s="16"/>
      <c r="U89" s="16"/>
    </row>
    <row r="90" spans="1:21" x14ac:dyDescent="0.25">
      <c r="A90" s="16"/>
      <c r="B90" s="16"/>
      <c r="C90" s="17"/>
      <c r="D90" s="17"/>
      <c r="E90" s="16"/>
      <c r="F90" s="16"/>
      <c r="G90" s="16"/>
      <c r="H90" s="31" t="str">
        <f>IF(OR(Admin!E90="", Admin!D90=""),
    "",
    IF(Admin!C90="M",
        INDEX('Table B-1'!$C$9:$AX$31, MATCH(Admin!E90, 'Table B-1'!$A$9:$A$31, 0), MATCH(MIN(40,Admin!D90), 'Table B-1'!$C$4:$Z$4, 1)),
        IF(Admin!C90="F",
            INDEX('Table B-1'!$AA$9:$AX$31, MATCH(Admin!E90, 'Table B-1'!$A$9:$A$31, 0), MATCH(MIN(40,Admin!D90), 'Table B-1'!$AA$4:$AX$4, 1)),
            ""
        )
    )
)</f>
        <v/>
      </c>
      <c r="I90" s="31" t="str">
        <f t="shared" si="3"/>
        <v/>
      </c>
      <c r="J90" s="16"/>
      <c r="K90" s="16"/>
      <c r="L90" s="16"/>
      <c r="M90" s="29" t="str">
        <f t="shared" si="4"/>
        <v/>
      </c>
      <c r="N90" s="30" t="str">
        <f>IF(OR(Admin!F90="", Admin!M90=""),
    "",
    IF(Admin!C90="M",
        IFERROR(INDEX('Figure B-1 Male'!$C$4:$AJ$164, MATCH(Admin!F90, 'Figure B-1 Male'!$B$4:$B$164, 0), MATCH(Admin!M90, 'Figure B-1 Male'!$C$3:$AJ$3, 1)) / 100, ""),
        IF(Admin!C90="F",
            IFERROR(INDEX('Figure B-2 Female'!$C$4:$AJ$164, MATCH(Admin!F90, 'Figure B-2 Female'!$B$4:$B$164, 0), MATCH(Admin!M90, 'Figure B-2 Female'!$C$3:$AJ$3, 1)) / 100, ""),
            ""
        )
    )
)</f>
        <v/>
      </c>
      <c r="O90" s="33" t="str">
        <f>IF(OR(F90="", M90=""),
    "",
    IF(Admin!C90="M",
        (-26.97 - (0.12 * F90) + (1.99 * M90)) / 100,
        IF(Admin!C90="F",
            (-9.15 - (0.015 * F90) + (1.27 * M90)) / 100,
            ""
        )
    )
)</f>
        <v/>
      </c>
      <c r="P90" s="30" t="str">
        <f>IF(OR(Admin!I90="Pass", Admin!I90=""),
    "",
    IF(Admin!D90="",
        "",
        IF(Admin!C90="M",
            INDEX('Table B-2'!$D$7:$D$30, MATCH(MIN(40, Admin!D90), 'Table B-2'!$C$7:$C$30, 0)),
            IF(Admin!C90="F",
                INDEX('Table B-2'!$F$7:$F$30, MATCH(MIN(40, Admin!D90), 'Table B-2'!$E$7:$E$30, 0)),
                ""
            )
        )
    )
)</f>
        <v/>
      </c>
      <c r="Q90" s="31" t="str">
        <f t="shared" si="5"/>
        <v/>
      </c>
      <c r="R90" s="16"/>
      <c r="S90" s="16"/>
      <c r="T90" s="16"/>
      <c r="U90" s="16"/>
    </row>
    <row r="91" spans="1:21" x14ac:dyDescent="0.25">
      <c r="A91" s="16"/>
      <c r="B91" s="16"/>
      <c r="C91" s="17"/>
      <c r="D91" s="17"/>
      <c r="E91" s="16"/>
      <c r="F91" s="16"/>
      <c r="G91" s="16"/>
      <c r="H91" s="31" t="str">
        <f>IF(OR(Admin!E91="", Admin!D91=""),
    "",
    IF(Admin!C91="M",
        INDEX('Table B-1'!$C$9:$AX$31, MATCH(Admin!E91, 'Table B-1'!$A$9:$A$31, 0), MATCH(MIN(40,Admin!D91), 'Table B-1'!$C$4:$Z$4, 1)),
        IF(Admin!C91="F",
            INDEX('Table B-1'!$AA$9:$AX$31, MATCH(Admin!E91, 'Table B-1'!$A$9:$A$31, 0), MATCH(MIN(40,Admin!D91), 'Table B-1'!$AA$4:$AX$4, 1)),
            ""
        )
    )
)</f>
        <v/>
      </c>
      <c r="I91" s="31" t="str">
        <f t="shared" si="3"/>
        <v/>
      </c>
      <c r="J91" s="16"/>
      <c r="K91" s="16"/>
      <c r="L91" s="16"/>
      <c r="M91" s="29" t="str">
        <f t="shared" si="4"/>
        <v/>
      </c>
      <c r="N91" s="30" t="str">
        <f>IF(OR(Admin!F91="", Admin!M91=""),
    "",
    IF(Admin!C91="M",
        IFERROR(INDEX('Figure B-1 Male'!$C$4:$AJ$164, MATCH(Admin!F91, 'Figure B-1 Male'!$B$4:$B$164, 0), MATCH(Admin!M91, 'Figure B-1 Male'!$C$3:$AJ$3, 1)) / 100, ""),
        IF(Admin!C91="F",
            IFERROR(INDEX('Figure B-2 Female'!$C$4:$AJ$164, MATCH(Admin!F91, 'Figure B-2 Female'!$B$4:$B$164, 0), MATCH(Admin!M91, 'Figure B-2 Female'!$C$3:$AJ$3, 1)) / 100, ""),
            ""
        )
    )
)</f>
        <v/>
      </c>
      <c r="O91" s="33" t="str">
        <f>IF(OR(F91="", M91=""),
    "",
    IF(Admin!C91="M",
        (-26.97 - (0.12 * F91) + (1.99 * M91)) / 100,
        IF(Admin!C91="F",
            (-9.15 - (0.015 * F91) + (1.27 * M91)) / 100,
            ""
        )
    )
)</f>
        <v/>
      </c>
      <c r="P91" s="30" t="str">
        <f>IF(OR(Admin!I91="Pass", Admin!I91=""),
    "",
    IF(Admin!D91="",
        "",
        IF(Admin!C91="M",
            INDEX('Table B-2'!$D$7:$D$30, MATCH(MIN(40, Admin!D91), 'Table B-2'!$C$7:$C$30, 0)),
            IF(Admin!C91="F",
                INDEX('Table B-2'!$F$7:$F$30, MATCH(MIN(40, Admin!D91), 'Table B-2'!$E$7:$E$30, 0)),
                ""
            )
        )
    )
)</f>
        <v/>
      </c>
      <c r="Q91" s="31" t="str">
        <f t="shared" si="5"/>
        <v/>
      </c>
      <c r="R91" s="16"/>
      <c r="S91" s="16"/>
      <c r="T91" s="16"/>
      <c r="U91" s="16"/>
    </row>
    <row r="92" spans="1:21" x14ac:dyDescent="0.25">
      <c r="A92" s="16"/>
      <c r="B92" s="16"/>
      <c r="C92" s="17"/>
      <c r="D92" s="17"/>
      <c r="E92" s="16"/>
      <c r="F92" s="16"/>
      <c r="G92" s="16"/>
      <c r="H92" s="31" t="str">
        <f>IF(OR(Admin!E92="", Admin!D92=""),
    "",
    IF(Admin!C92="M",
        INDEX('Table B-1'!$C$9:$AX$31, MATCH(Admin!E92, 'Table B-1'!$A$9:$A$31, 0), MATCH(MIN(40,Admin!D92), 'Table B-1'!$C$4:$Z$4, 1)),
        IF(Admin!C92="F",
            INDEX('Table B-1'!$AA$9:$AX$31, MATCH(Admin!E92, 'Table B-1'!$A$9:$A$31, 0), MATCH(MIN(40,Admin!D92), 'Table B-1'!$AA$4:$AX$4, 1)),
            ""
        )
    )
)</f>
        <v/>
      </c>
      <c r="I92" s="31" t="str">
        <f t="shared" si="3"/>
        <v/>
      </c>
      <c r="J92" s="16"/>
      <c r="K92" s="16"/>
      <c r="L92" s="16"/>
      <c r="M92" s="29" t="str">
        <f t="shared" si="4"/>
        <v/>
      </c>
      <c r="N92" s="30" t="str">
        <f>IF(OR(Admin!F92="", Admin!M92=""),
    "",
    IF(Admin!C92="M",
        IFERROR(INDEX('Figure B-1 Male'!$C$4:$AJ$164, MATCH(Admin!F92, 'Figure B-1 Male'!$B$4:$B$164, 0), MATCH(Admin!M92, 'Figure B-1 Male'!$C$3:$AJ$3, 1)) / 100, ""),
        IF(Admin!C92="F",
            IFERROR(INDEX('Figure B-2 Female'!$C$4:$AJ$164, MATCH(Admin!F92, 'Figure B-2 Female'!$B$4:$B$164, 0), MATCH(Admin!M92, 'Figure B-2 Female'!$C$3:$AJ$3, 1)) / 100, ""),
            ""
        )
    )
)</f>
        <v/>
      </c>
      <c r="O92" s="33" t="str">
        <f>IF(OR(F92="", M92=""),
    "",
    IF(Admin!C92="M",
        (-26.97 - (0.12 * F92) + (1.99 * M92)) / 100,
        IF(Admin!C92="F",
            (-9.15 - (0.015 * F92) + (1.27 * M92)) / 100,
            ""
        )
    )
)</f>
        <v/>
      </c>
      <c r="P92" s="30" t="str">
        <f>IF(OR(Admin!I92="Pass", Admin!I92=""),
    "",
    IF(Admin!D92="",
        "",
        IF(Admin!C92="M",
            INDEX('Table B-2'!$D$7:$D$30, MATCH(MIN(40, Admin!D92), 'Table B-2'!$C$7:$C$30, 0)),
            IF(Admin!C92="F",
                INDEX('Table B-2'!$F$7:$F$30, MATCH(MIN(40, Admin!D92), 'Table B-2'!$E$7:$E$30, 0)),
                ""
            )
        )
    )
)</f>
        <v/>
      </c>
      <c r="Q92" s="31" t="str">
        <f t="shared" si="5"/>
        <v/>
      </c>
      <c r="R92" s="16"/>
      <c r="S92" s="16"/>
      <c r="T92" s="16"/>
      <c r="U92" s="16"/>
    </row>
    <row r="93" spans="1:21" x14ac:dyDescent="0.25">
      <c r="A93" s="16"/>
      <c r="B93" s="16"/>
      <c r="C93" s="17"/>
      <c r="D93" s="17"/>
      <c r="E93" s="16"/>
      <c r="F93" s="16"/>
      <c r="G93" s="16"/>
      <c r="H93" s="31" t="str">
        <f>IF(OR(Admin!E93="", Admin!D93=""),
    "",
    IF(Admin!C93="M",
        INDEX('Table B-1'!$C$9:$AX$31, MATCH(Admin!E93, 'Table B-1'!$A$9:$A$31, 0), MATCH(MIN(40,Admin!D93), 'Table B-1'!$C$4:$Z$4, 1)),
        IF(Admin!C93="F",
            INDEX('Table B-1'!$AA$9:$AX$31, MATCH(Admin!E93, 'Table B-1'!$A$9:$A$31, 0), MATCH(MIN(40,Admin!D93), 'Table B-1'!$AA$4:$AX$4, 1)),
            ""
        )
    )
)</f>
        <v/>
      </c>
      <c r="I93" s="31" t="str">
        <f t="shared" si="3"/>
        <v/>
      </c>
      <c r="J93" s="16"/>
      <c r="K93" s="16"/>
      <c r="L93" s="16"/>
      <c r="M93" s="29" t="str">
        <f t="shared" si="4"/>
        <v/>
      </c>
      <c r="N93" s="30" t="str">
        <f>IF(OR(Admin!F93="", Admin!M93=""),
    "",
    IF(Admin!C93="M",
        IFERROR(INDEX('Figure B-1 Male'!$C$4:$AJ$164, MATCH(Admin!F93, 'Figure B-1 Male'!$B$4:$B$164, 0), MATCH(Admin!M93, 'Figure B-1 Male'!$C$3:$AJ$3, 1)) / 100, ""),
        IF(Admin!C93="F",
            IFERROR(INDEX('Figure B-2 Female'!$C$4:$AJ$164, MATCH(Admin!F93, 'Figure B-2 Female'!$B$4:$B$164, 0), MATCH(Admin!M93, 'Figure B-2 Female'!$C$3:$AJ$3, 1)) / 100, ""),
            ""
        )
    )
)</f>
        <v/>
      </c>
      <c r="O93" s="33" t="str">
        <f>IF(OR(F93="", M93=""),
    "",
    IF(Admin!C93="M",
        (-26.97 - (0.12 * F93) + (1.99 * M93)) / 100,
        IF(Admin!C93="F",
            (-9.15 - (0.015 * F93) + (1.27 * M93)) / 100,
            ""
        )
    )
)</f>
        <v/>
      </c>
      <c r="P93" s="30" t="str">
        <f>IF(OR(Admin!I93="Pass", Admin!I93=""),
    "",
    IF(Admin!D93="",
        "",
        IF(Admin!C93="M",
            INDEX('Table B-2'!$D$7:$D$30, MATCH(MIN(40, Admin!D93), 'Table B-2'!$C$7:$C$30, 0)),
            IF(Admin!C93="F",
                INDEX('Table B-2'!$F$7:$F$30, MATCH(MIN(40, Admin!D93), 'Table B-2'!$E$7:$E$30, 0)),
                ""
            )
        )
    )
)</f>
        <v/>
      </c>
      <c r="Q93" s="31" t="str">
        <f t="shared" si="5"/>
        <v/>
      </c>
      <c r="R93" s="16"/>
      <c r="S93" s="16"/>
      <c r="T93" s="16"/>
      <c r="U93" s="16"/>
    </row>
    <row r="94" spans="1:21" x14ac:dyDescent="0.25">
      <c r="A94" s="16"/>
      <c r="B94" s="16"/>
      <c r="C94" s="17"/>
      <c r="D94" s="17"/>
      <c r="E94" s="16"/>
      <c r="F94" s="16"/>
      <c r="G94" s="16"/>
      <c r="H94" s="31" t="str">
        <f>IF(OR(Admin!E94="", Admin!D94=""),
    "",
    IF(Admin!C94="M",
        INDEX('Table B-1'!$C$9:$AX$31, MATCH(Admin!E94, 'Table B-1'!$A$9:$A$31, 0), MATCH(MIN(40,Admin!D94), 'Table B-1'!$C$4:$Z$4, 1)),
        IF(Admin!C94="F",
            INDEX('Table B-1'!$AA$9:$AX$31, MATCH(Admin!E94, 'Table B-1'!$A$9:$A$31, 0), MATCH(MIN(40,Admin!D94), 'Table B-1'!$AA$4:$AX$4, 1)),
            ""
        )
    )
)</f>
        <v/>
      </c>
      <c r="I94" s="31" t="str">
        <f t="shared" si="3"/>
        <v/>
      </c>
      <c r="J94" s="16"/>
      <c r="K94" s="16"/>
      <c r="L94" s="16"/>
      <c r="M94" s="29" t="str">
        <f t="shared" si="4"/>
        <v/>
      </c>
      <c r="N94" s="30" t="str">
        <f>IF(OR(Admin!F94="", Admin!M94=""),
    "",
    IF(Admin!C94="M",
        IFERROR(INDEX('Figure B-1 Male'!$C$4:$AJ$164, MATCH(Admin!F94, 'Figure B-1 Male'!$B$4:$B$164, 0), MATCH(Admin!M94, 'Figure B-1 Male'!$C$3:$AJ$3, 1)) / 100, ""),
        IF(Admin!C94="F",
            IFERROR(INDEX('Figure B-2 Female'!$C$4:$AJ$164, MATCH(Admin!F94, 'Figure B-2 Female'!$B$4:$B$164, 0), MATCH(Admin!M94, 'Figure B-2 Female'!$C$3:$AJ$3, 1)) / 100, ""),
            ""
        )
    )
)</f>
        <v/>
      </c>
      <c r="O94" s="33" t="str">
        <f>IF(OR(F94="", M94=""),
    "",
    IF(Admin!C94="M",
        (-26.97 - (0.12 * F94) + (1.99 * M94)) / 100,
        IF(Admin!C94="F",
            (-9.15 - (0.015 * F94) + (1.27 * M94)) / 100,
            ""
        )
    )
)</f>
        <v/>
      </c>
      <c r="P94" s="30" t="str">
        <f>IF(OR(Admin!I94="Pass", Admin!I94=""),
    "",
    IF(Admin!D94="",
        "",
        IF(Admin!C94="M",
            INDEX('Table B-2'!$D$7:$D$30, MATCH(MIN(40, Admin!D94), 'Table B-2'!$C$7:$C$30, 0)),
            IF(Admin!C94="F",
                INDEX('Table B-2'!$F$7:$F$30, MATCH(MIN(40, Admin!D94), 'Table B-2'!$E$7:$E$30, 0)),
                ""
            )
        )
    )
)</f>
        <v/>
      </c>
      <c r="Q94" s="31" t="str">
        <f t="shared" si="5"/>
        <v/>
      </c>
      <c r="R94" s="16"/>
      <c r="S94" s="16"/>
      <c r="T94" s="16"/>
      <c r="U94" s="16"/>
    </row>
    <row r="95" spans="1:21" x14ac:dyDescent="0.25">
      <c r="A95" s="16"/>
      <c r="B95" s="16"/>
      <c r="C95" s="17"/>
      <c r="D95" s="17"/>
      <c r="E95" s="16"/>
      <c r="F95" s="16"/>
      <c r="G95" s="16"/>
      <c r="H95" s="31" t="str">
        <f>IF(OR(Admin!E95="", Admin!D95=""),
    "",
    IF(Admin!C95="M",
        INDEX('Table B-1'!$C$9:$AX$31, MATCH(Admin!E95, 'Table B-1'!$A$9:$A$31, 0), MATCH(MIN(40,Admin!D95), 'Table B-1'!$C$4:$Z$4, 1)),
        IF(Admin!C95="F",
            INDEX('Table B-1'!$AA$9:$AX$31, MATCH(Admin!E95, 'Table B-1'!$A$9:$A$31, 0), MATCH(MIN(40,Admin!D95), 'Table B-1'!$AA$4:$AX$4, 1)),
            ""
        )
    )
)</f>
        <v/>
      </c>
      <c r="I95" s="31" t="str">
        <f t="shared" si="3"/>
        <v/>
      </c>
      <c r="J95" s="16"/>
      <c r="K95" s="16"/>
      <c r="L95" s="16"/>
      <c r="M95" s="29" t="str">
        <f t="shared" si="4"/>
        <v/>
      </c>
      <c r="N95" s="30" t="str">
        <f>IF(OR(Admin!F95="", Admin!M95=""),
    "",
    IF(Admin!C95="M",
        IFERROR(INDEX('Figure B-1 Male'!$C$4:$AJ$164, MATCH(Admin!F95, 'Figure B-1 Male'!$B$4:$B$164, 0), MATCH(Admin!M95, 'Figure B-1 Male'!$C$3:$AJ$3, 1)) / 100, ""),
        IF(Admin!C95="F",
            IFERROR(INDEX('Figure B-2 Female'!$C$4:$AJ$164, MATCH(Admin!F95, 'Figure B-2 Female'!$B$4:$B$164, 0), MATCH(Admin!M95, 'Figure B-2 Female'!$C$3:$AJ$3, 1)) / 100, ""),
            ""
        )
    )
)</f>
        <v/>
      </c>
      <c r="O95" s="33" t="str">
        <f>IF(OR(F95="", M95=""),
    "",
    IF(Admin!C95="M",
        (-26.97 - (0.12 * F95) + (1.99 * M95)) / 100,
        IF(Admin!C95="F",
            (-9.15 - (0.015 * F95) + (1.27 * M95)) / 100,
            ""
        )
    )
)</f>
        <v/>
      </c>
      <c r="P95" s="30" t="str">
        <f>IF(OR(Admin!I95="Pass", Admin!I95=""),
    "",
    IF(Admin!D95="",
        "",
        IF(Admin!C95="M",
            INDEX('Table B-2'!$D$7:$D$30, MATCH(MIN(40, Admin!D95), 'Table B-2'!$C$7:$C$30, 0)),
            IF(Admin!C95="F",
                INDEX('Table B-2'!$F$7:$F$30, MATCH(MIN(40, Admin!D95), 'Table B-2'!$E$7:$E$30, 0)),
                ""
            )
        )
    )
)</f>
        <v/>
      </c>
      <c r="Q95" s="31" t="str">
        <f t="shared" si="5"/>
        <v/>
      </c>
      <c r="R95" s="16"/>
      <c r="S95" s="16"/>
      <c r="T95" s="16"/>
      <c r="U95" s="16"/>
    </row>
    <row r="96" spans="1:21" x14ac:dyDescent="0.25">
      <c r="A96" s="16"/>
      <c r="B96" s="16"/>
      <c r="C96" s="17"/>
      <c r="D96" s="17"/>
      <c r="E96" s="16"/>
      <c r="F96" s="16"/>
      <c r="G96" s="16"/>
      <c r="H96" s="31" t="str">
        <f>IF(OR(Admin!E96="", Admin!D96=""),
    "",
    IF(Admin!C96="M",
        INDEX('Table B-1'!$C$9:$AX$31, MATCH(Admin!E96, 'Table B-1'!$A$9:$A$31, 0), MATCH(MIN(40,Admin!D96), 'Table B-1'!$C$4:$Z$4, 1)),
        IF(Admin!C96="F",
            INDEX('Table B-1'!$AA$9:$AX$31, MATCH(Admin!E96, 'Table B-1'!$A$9:$A$31, 0), MATCH(MIN(40,Admin!D96), 'Table B-1'!$AA$4:$AX$4, 1)),
            ""
        )
    )
)</f>
        <v/>
      </c>
      <c r="I96" s="31" t="str">
        <f t="shared" si="3"/>
        <v/>
      </c>
      <c r="J96" s="16"/>
      <c r="K96" s="16"/>
      <c r="L96" s="16"/>
      <c r="M96" s="29" t="str">
        <f t="shared" si="4"/>
        <v/>
      </c>
      <c r="N96" s="30" t="str">
        <f>IF(OR(Admin!F96="", Admin!M96=""),
    "",
    IF(Admin!C96="M",
        IFERROR(INDEX('Figure B-1 Male'!$C$4:$AJ$164, MATCH(Admin!F96, 'Figure B-1 Male'!$B$4:$B$164, 0), MATCH(Admin!M96, 'Figure B-1 Male'!$C$3:$AJ$3, 1)) / 100, ""),
        IF(Admin!C96="F",
            IFERROR(INDEX('Figure B-2 Female'!$C$4:$AJ$164, MATCH(Admin!F96, 'Figure B-2 Female'!$B$4:$B$164, 0), MATCH(Admin!M96, 'Figure B-2 Female'!$C$3:$AJ$3, 1)) / 100, ""),
            ""
        )
    )
)</f>
        <v/>
      </c>
      <c r="O96" s="33" t="str">
        <f>IF(OR(F96="", M96=""),
    "",
    IF(Admin!C96="M",
        (-26.97 - (0.12 * F96) + (1.99 * M96)) / 100,
        IF(Admin!C96="F",
            (-9.15 - (0.015 * F96) + (1.27 * M96)) / 100,
            ""
        )
    )
)</f>
        <v/>
      </c>
      <c r="P96" s="30" t="str">
        <f>IF(OR(Admin!I96="Pass", Admin!I96=""),
    "",
    IF(Admin!D96="",
        "",
        IF(Admin!C96="M",
            INDEX('Table B-2'!$D$7:$D$30, MATCH(MIN(40, Admin!D96), 'Table B-2'!$C$7:$C$30, 0)),
            IF(Admin!C96="F",
                INDEX('Table B-2'!$F$7:$F$30, MATCH(MIN(40, Admin!D96), 'Table B-2'!$E$7:$E$30, 0)),
                ""
            )
        )
    )
)</f>
        <v/>
      </c>
      <c r="Q96" s="31" t="str">
        <f t="shared" si="5"/>
        <v/>
      </c>
      <c r="R96" s="16"/>
      <c r="S96" s="16"/>
      <c r="T96" s="16"/>
      <c r="U96" s="16"/>
    </row>
    <row r="97" spans="1:21" x14ac:dyDescent="0.25">
      <c r="A97" s="16"/>
      <c r="B97" s="16"/>
      <c r="C97" s="17"/>
      <c r="D97" s="17"/>
      <c r="E97" s="16"/>
      <c r="F97" s="16"/>
      <c r="G97" s="16"/>
      <c r="H97" s="31" t="str">
        <f>IF(OR(Admin!E97="", Admin!D97=""),
    "",
    IF(Admin!C97="M",
        INDEX('Table B-1'!$C$9:$AX$31, MATCH(Admin!E97, 'Table B-1'!$A$9:$A$31, 0), MATCH(MIN(40,Admin!D97), 'Table B-1'!$C$4:$Z$4, 1)),
        IF(Admin!C97="F",
            INDEX('Table B-1'!$AA$9:$AX$31, MATCH(Admin!E97, 'Table B-1'!$A$9:$A$31, 0), MATCH(MIN(40,Admin!D97), 'Table B-1'!$AA$4:$AX$4, 1)),
            ""
        )
    )
)</f>
        <v/>
      </c>
      <c r="I97" s="31" t="str">
        <f t="shared" si="3"/>
        <v/>
      </c>
      <c r="J97" s="16"/>
      <c r="K97" s="16"/>
      <c r="L97" s="16"/>
      <c r="M97" s="29" t="str">
        <f t="shared" si="4"/>
        <v/>
      </c>
      <c r="N97" s="30" t="str">
        <f>IF(OR(Admin!F97="", Admin!M97=""),
    "",
    IF(Admin!C97="M",
        IFERROR(INDEX('Figure B-1 Male'!$C$4:$AJ$164, MATCH(Admin!F97, 'Figure B-1 Male'!$B$4:$B$164, 0), MATCH(Admin!M97, 'Figure B-1 Male'!$C$3:$AJ$3, 1)) / 100, ""),
        IF(Admin!C97="F",
            IFERROR(INDEX('Figure B-2 Female'!$C$4:$AJ$164, MATCH(Admin!F97, 'Figure B-2 Female'!$B$4:$B$164, 0), MATCH(Admin!M97, 'Figure B-2 Female'!$C$3:$AJ$3, 1)) / 100, ""),
            ""
        )
    )
)</f>
        <v/>
      </c>
      <c r="O97" s="33" t="str">
        <f>IF(OR(F97="", M97=""),
    "",
    IF(Admin!C97="M",
        (-26.97 - (0.12 * F97) + (1.99 * M97)) / 100,
        IF(Admin!C97="F",
            (-9.15 - (0.015 * F97) + (1.27 * M97)) / 100,
            ""
        )
    )
)</f>
        <v/>
      </c>
      <c r="P97" s="30" t="str">
        <f>IF(OR(Admin!I97="Pass", Admin!I97=""),
    "",
    IF(Admin!D97="",
        "",
        IF(Admin!C97="M",
            INDEX('Table B-2'!$D$7:$D$30, MATCH(MIN(40, Admin!D97), 'Table B-2'!$C$7:$C$30, 0)),
            IF(Admin!C97="F",
                INDEX('Table B-2'!$F$7:$F$30, MATCH(MIN(40, Admin!D97), 'Table B-2'!$E$7:$E$30, 0)),
                ""
            )
        )
    )
)</f>
        <v/>
      </c>
      <c r="Q97" s="31" t="str">
        <f t="shared" si="5"/>
        <v/>
      </c>
      <c r="R97" s="16"/>
      <c r="S97" s="16"/>
      <c r="T97" s="16"/>
      <c r="U97" s="16"/>
    </row>
    <row r="98" spans="1:21" x14ac:dyDescent="0.25">
      <c r="A98" s="16"/>
      <c r="B98" s="16"/>
      <c r="C98" s="17"/>
      <c r="D98" s="17"/>
      <c r="E98" s="16"/>
      <c r="F98" s="16"/>
      <c r="G98" s="16"/>
      <c r="H98" s="31" t="str">
        <f>IF(OR(Admin!E98="", Admin!D98=""),
    "",
    IF(Admin!C98="M",
        INDEX('Table B-1'!$C$9:$AX$31, MATCH(Admin!E98, 'Table B-1'!$A$9:$A$31, 0), MATCH(MIN(40,Admin!D98), 'Table B-1'!$C$4:$Z$4, 1)),
        IF(Admin!C98="F",
            INDEX('Table B-1'!$AA$9:$AX$31, MATCH(Admin!E98, 'Table B-1'!$A$9:$A$31, 0), MATCH(MIN(40,Admin!D98), 'Table B-1'!$AA$4:$AX$4, 1)),
            ""
        )
    )
)</f>
        <v/>
      </c>
      <c r="I98" s="31" t="str">
        <f t="shared" si="3"/>
        <v/>
      </c>
      <c r="J98" s="16"/>
      <c r="K98" s="16"/>
      <c r="L98" s="16"/>
      <c r="M98" s="29" t="str">
        <f t="shared" si="4"/>
        <v/>
      </c>
      <c r="N98" s="30" t="str">
        <f>IF(OR(Admin!F98="", Admin!M98=""),
    "",
    IF(Admin!C98="M",
        IFERROR(INDEX('Figure B-1 Male'!$C$4:$AJ$164, MATCH(Admin!F98, 'Figure B-1 Male'!$B$4:$B$164, 0), MATCH(Admin!M98, 'Figure B-1 Male'!$C$3:$AJ$3, 1)) / 100, ""),
        IF(Admin!C98="F",
            IFERROR(INDEX('Figure B-2 Female'!$C$4:$AJ$164, MATCH(Admin!F98, 'Figure B-2 Female'!$B$4:$B$164, 0), MATCH(Admin!M98, 'Figure B-2 Female'!$C$3:$AJ$3, 1)) / 100, ""),
            ""
        )
    )
)</f>
        <v/>
      </c>
      <c r="O98" s="33" t="str">
        <f>IF(OR(F98="", M98=""),
    "",
    IF(Admin!C98="M",
        (-26.97 - (0.12 * F98) + (1.99 * M98)) / 100,
        IF(Admin!C98="F",
            (-9.15 - (0.015 * F98) + (1.27 * M98)) / 100,
            ""
        )
    )
)</f>
        <v/>
      </c>
      <c r="P98" s="30" t="str">
        <f>IF(OR(Admin!I98="Pass", Admin!I98=""),
    "",
    IF(Admin!D98="",
        "",
        IF(Admin!C98="M",
            INDEX('Table B-2'!$D$7:$D$30, MATCH(MIN(40, Admin!D98), 'Table B-2'!$C$7:$C$30, 0)),
            IF(Admin!C98="F",
                INDEX('Table B-2'!$F$7:$F$30, MATCH(MIN(40, Admin!D98), 'Table B-2'!$E$7:$E$30, 0)),
                ""
            )
        )
    )
)</f>
        <v/>
      </c>
      <c r="Q98" s="31" t="str">
        <f t="shared" si="5"/>
        <v/>
      </c>
      <c r="R98" s="16"/>
      <c r="S98" s="16"/>
      <c r="T98" s="16"/>
      <c r="U98" s="16"/>
    </row>
    <row r="99" spans="1:21" x14ac:dyDescent="0.25">
      <c r="A99" s="16"/>
      <c r="B99" s="16"/>
      <c r="C99" s="17"/>
      <c r="D99" s="17"/>
      <c r="E99" s="16"/>
      <c r="F99" s="16"/>
      <c r="G99" s="16"/>
      <c r="H99" s="31" t="str">
        <f>IF(OR(Admin!E99="", Admin!D99=""),
    "",
    IF(Admin!C99="M",
        INDEX('Table B-1'!$C$9:$AX$31, MATCH(Admin!E99, 'Table B-1'!$A$9:$A$31, 0), MATCH(MIN(40,Admin!D99), 'Table B-1'!$C$4:$Z$4, 1)),
        IF(Admin!C99="F",
            INDEX('Table B-1'!$AA$9:$AX$31, MATCH(Admin!E99, 'Table B-1'!$A$9:$A$31, 0), MATCH(MIN(40,Admin!D99), 'Table B-1'!$AA$4:$AX$4, 1)),
            ""
        )
    )
)</f>
        <v/>
      </c>
      <c r="I99" s="31" t="str">
        <f t="shared" si="3"/>
        <v/>
      </c>
      <c r="J99" s="16"/>
      <c r="K99" s="16"/>
      <c r="L99" s="16"/>
      <c r="M99" s="29" t="str">
        <f t="shared" si="4"/>
        <v/>
      </c>
      <c r="N99" s="30" t="str">
        <f>IF(OR(Admin!F99="", Admin!M99=""),
    "",
    IF(Admin!C99="M",
        IFERROR(INDEX('Figure B-1 Male'!$C$4:$AJ$164, MATCH(Admin!F99, 'Figure B-1 Male'!$B$4:$B$164, 0), MATCH(Admin!M99, 'Figure B-1 Male'!$C$3:$AJ$3, 1)) / 100, ""),
        IF(Admin!C99="F",
            IFERROR(INDEX('Figure B-2 Female'!$C$4:$AJ$164, MATCH(Admin!F99, 'Figure B-2 Female'!$B$4:$B$164, 0), MATCH(Admin!M99, 'Figure B-2 Female'!$C$3:$AJ$3, 1)) / 100, ""),
            ""
        )
    )
)</f>
        <v/>
      </c>
      <c r="O99" s="33" t="str">
        <f>IF(OR(F99="", M99=""),
    "",
    IF(Admin!C99="M",
        (-26.97 - (0.12 * F99) + (1.99 * M99)) / 100,
        IF(Admin!C99="F",
            (-9.15 - (0.015 * F99) + (1.27 * M99)) / 100,
            ""
        )
    )
)</f>
        <v/>
      </c>
      <c r="P99" s="30" t="str">
        <f>IF(OR(Admin!I99="Pass", Admin!I99=""),
    "",
    IF(Admin!D99="",
        "",
        IF(Admin!C99="M",
            INDEX('Table B-2'!$D$7:$D$30, MATCH(MIN(40, Admin!D99), 'Table B-2'!$C$7:$C$30, 0)),
            IF(Admin!C99="F",
                INDEX('Table B-2'!$F$7:$F$30, MATCH(MIN(40, Admin!D99), 'Table B-2'!$E$7:$E$30, 0)),
                ""
            )
        )
    )
)</f>
        <v/>
      </c>
      <c r="Q99" s="31" t="str">
        <f t="shared" si="5"/>
        <v/>
      </c>
      <c r="R99" s="16"/>
      <c r="S99" s="16"/>
      <c r="T99" s="16"/>
      <c r="U99" s="16"/>
    </row>
    <row r="100" spans="1:21" x14ac:dyDescent="0.25">
      <c r="A100" s="16"/>
      <c r="B100" s="16"/>
      <c r="C100" s="17"/>
      <c r="D100" s="17"/>
      <c r="E100" s="16"/>
      <c r="F100" s="16"/>
      <c r="G100" s="16"/>
      <c r="H100" s="31" t="str">
        <f>IF(OR(Admin!E100="", Admin!D100=""),
    "",
    IF(Admin!C100="M",
        INDEX('Table B-1'!$C$9:$AX$31, MATCH(Admin!E100, 'Table B-1'!$A$9:$A$31, 0), MATCH(MIN(40,Admin!D100), 'Table B-1'!$C$4:$Z$4, 1)),
        IF(Admin!C100="F",
            INDEX('Table B-1'!$AA$9:$AX$31, MATCH(Admin!E100, 'Table B-1'!$A$9:$A$31, 0), MATCH(MIN(40,Admin!D100), 'Table B-1'!$AA$4:$AX$4, 1)),
            ""
        )
    )
)</f>
        <v/>
      </c>
      <c r="I100" s="31" t="str">
        <f t="shared" si="3"/>
        <v/>
      </c>
      <c r="J100" s="16"/>
      <c r="K100" s="16"/>
      <c r="L100" s="16"/>
      <c r="M100" s="29" t="str">
        <f t="shared" si="4"/>
        <v/>
      </c>
      <c r="N100" s="30" t="str">
        <f>IF(OR(Admin!F100="", Admin!M100=""),
    "",
    IF(Admin!C100="M",
        IFERROR(INDEX('Figure B-1 Male'!$C$4:$AJ$164, MATCH(Admin!F100, 'Figure B-1 Male'!$B$4:$B$164, 0), MATCH(Admin!M100, 'Figure B-1 Male'!$C$3:$AJ$3, 1)) / 100, ""),
        IF(Admin!C100="F",
            IFERROR(INDEX('Figure B-2 Female'!$C$4:$AJ$164, MATCH(Admin!F100, 'Figure B-2 Female'!$B$4:$B$164, 0), MATCH(Admin!M100, 'Figure B-2 Female'!$C$3:$AJ$3, 1)) / 100, ""),
            ""
        )
    )
)</f>
        <v/>
      </c>
      <c r="O100" s="33" t="str">
        <f>IF(OR(F100="", M100=""),
    "",
    IF(Admin!C100="M",
        (-26.97 - (0.12 * F100) + (1.99 * M100)) / 100,
        IF(Admin!C100="F",
            (-9.15 - (0.015 * F100) + (1.27 * M100)) / 100,
            ""
        )
    )
)</f>
        <v/>
      </c>
      <c r="P100" s="30" t="str">
        <f>IF(OR(Admin!I100="Pass", Admin!I100=""),
    "",
    IF(Admin!D100="",
        "",
        IF(Admin!C100="M",
            INDEX('Table B-2'!$D$7:$D$30, MATCH(MIN(40, Admin!D100), 'Table B-2'!$C$7:$C$30, 0)),
            IF(Admin!C100="F",
                INDEX('Table B-2'!$F$7:$F$30, MATCH(MIN(40, Admin!D100), 'Table B-2'!$E$7:$E$30, 0)),
                ""
            )
        )
    )
)</f>
        <v/>
      </c>
      <c r="Q100" s="31" t="str">
        <f t="shared" si="5"/>
        <v/>
      </c>
      <c r="R100" s="16"/>
      <c r="S100" s="16"/>
      <c r="T100" s="16"/>
      <c r="U100" s="16"/>
    </row>
    <row r="101" spans="1:21" x14ac:dyDescent="0.25">
      <c r="A101" s="16"/>
      <c r="B101" s="16"/>
      <c r="C101" s="17"/>
      <c r="D101" s="17"/>
      <c r="E101" s="16"/>
      <c r="F101" s="16"/>
      <c r="G101" s="16"/>
      <c r="H101" s="31" t="str">
        <f>IF(OR(Admin!E101="", Admin!D101=""),
    "",
    IF(Admin!C101="M",
        INDEX('Table B-1'!$C$9:$AX$31, MATCH(Admin!E101, 'Table B-1'!$A$9:$A$31, 0), MATCH(MIN(40,Admin!D101), 'Table B-1'!$C$4:$Z$4, 1)),
        IF(Admin!C101="F",
            INDEX('Table B-1'!$AA$9:$AX$31, MATCH(Admin!E101, 'Table B-1'!$A$9:$A$31, 0), MATCH(MIN(40,Admin!D101), 'Table B-1'!$AA$4:$AX$4, 1)),
            ""
        )
    )
)</f>
        <v/>
      </c>
      <c r="I101" s="31" t="str">
        <f t="shared" si="3"/>
        <v/>
      </c>
      <c r="J101" s="16"/>
      <c r="K101" s="16"/>
      <c r="L101" s="16"/>
      <c r="M101" s="29" t="str">
        <f t="shared" si="4"/>
        <v/>
      </c>
      <c r="N101" s="30" t="str">
        <f>IF(OR(Admin!F101="", Admin!M101=""),
    "",
    IF(Admin!C101="M",
        IFERROR(INDEX('Figure B-1 Male'!$C$4:$AJ$164, MATCH(Admin!F101, 'Figure B-1 Male'!$B$4:$B$164, 0), MATCH(Admin!M101, 'Figure B-1 Male'!$C$3:$AJ$3, 1)) / 100, ""),
        IF(Admin!C101="F",
            IFERROR(INDEX('Figure B-2 Female'!$C$4:$AJ$164, MATCH(Admin!F101, 'Figure B-2 Female'!$B$4:$B$164, 0), MATCH(Admin!M101, 'Figure B-2 Female'!$C$3:$AJ$3, 1)) / 100, ""),
            ""
        )
    )
)</f>
        <v/>
      </c>
      <c r="O101" s="33" t="str">
        <f>IF(OR(F101="", M101=""),
    "",
    IF(Admin!C101="M",
        (-26.97 - (0.12 * F101) + (1.99 * M101)) / 100,
        IF(Admin!C101="F",
            (-9.15 - (0.015 * F101) + (1.27 * M101)) / 100,
            ""
        )
    )
)</f>
        <v/>
      </c>
      <c r="P101" s="30" t="str">
        <f>IF(OR(Admin!I101="Pass", Admin!I101=""),
    "",
    IF(Admin!D101="",
        "",
        IF(Admin!C101="M",
            INDEX('Table B-2'!$D$7:$D$30, MATCH(MIN(40, Admin!D101), 'Table B-2'!$C$7:$C$30, 0)),
            IF(Admin!C101="F",
                INDEX('Table B-2'!$F$7:$F$30, MATCH(MIN(40, Admin!D101), 'Table B-2'!$E$7:$E$30, 0)),
                ""
            )
        )
    )
)</f>
        <v/>
      </c>
      <c r="Q101" s="31" t="str">
        <f t="shared" si="5"/>
        <v/>
      </c>
      <c r="R101" s="16"/>
      <c r="S101" s="16"/>
      <c r="T101" s="16"/>
      <c r="U101" s="16"/>
    </row>
    <row r="102" spans="1:21" x14ac:dyDescent="0.25">
      <c r="A102" s="16"/>
      <c r="B102" s="16"/>
      <c r="C102" s="17"/>
      <c r="D102" s="17"/>
      <c r="E102" s="16"/>
      <c r="F102" s="16"/>
      <c r="G102" s="16"/>
      <c r="H102" s="31" t="str">
        <f>IF(OR(Admin!E102="", Admin!D102=""),
    "",
    IF(Admin!C102="M",
        INDEX('Table B-1'!$C$9:$AX$31, MATCH(Admin!E102, 'Table B-1'!$A$9:$A$31, 0), MATCH(MIN(40,Admin!D102), 'Table B-1'!$C$4:$Z$4, 1)),
        IF(Admin!C102="F",
            INDEX('Table B-1'!$AA$9:$AX$31, MATCH(Admin!E102, 'Table B-1'!$A$9:$A$31, 0), MATCH(MIN(40,Admin!D102), 'Table B-1'!$AA$4:$AX$4, 1)),
            ""
        )
    )
)</f>
        <v/>
      </c>
      <c r="I102" s="31" t="str">
        <f t="shared" si="3"/>
        <v/>
      </c>
      <c r="J102" s="16"/>
      <c r="K102" s="16"/>
      <c r="L102" s="16"/>
      <c r="M102" s="29" t="str">
        <f t="shared" si="4"/>
        <v/>
      </c>
      <c r="N102" s="30" t="str">
        <f>IF(OR(Admin!F102="", Admin!M102=""),
    "",
    IF(Admin!C102="M",
        IFERROR(INDEX('Figure B-1 Male'!$C$4:$AJ$164, MATCH(Admin!F102, 'Figure B-1 Male'!$B$4:$B$164, 0), MATCH(Admin!M102, 'Figure B-1 Male'!$C$3:$AJ$3, 1)) / 100, ""),
        IF(Admin!C102="F",
            IFERROR(INDEX('Figure B-2 Female'!$C$4:$AJ$164, MATCH(Admin!F102, 'Figure B-2 Female'!$B$4:$B$164, 0), MATCH(Admin!M102, 'Figure B-2 Female'!$C$3:$AJ$3, 1)) / 100, ""),
            ""
        )
    )
)</f>
        <v/>
      </c>
      <c r="O102" s="33" t="str">
        <f>IF(OR(F102="", M102=""),
    "",
    IF(Admin!C102="M",
        (-26.97 - (0.12 * F102) + (1.99 * M102)) / 100,
        IF(Admin!C102="F",
            (-9.15 - (0.015 * F102) + (1.27 * M102)) / 100,
            ""
        )
    )
)</f>
        <v/>
      </c>
      <c r="P102" s="30" t="str">
        <f>IF(OR(Admin!I102="Pass", Admin!I102=""),
    "",
    IF(Admin!D102="",
        "",
        IF(Admin!C102="M",
            INDEX('Table B-2'!$D$7:$D$30, MATCH(MIN(40, Admin!D102), 'Table B-2'!$C$7:$C$30, 0)),
            IF(Admin!C102="F",
                INDEX('Table B-2'!$F$7:$F$30, MATCH(MIN(40, Admin!D102), 'Table B-2'!$E$7:$E$30, 0)),
                ""
            )
        )
    )
)</f>
        <v/>
      </c>
      <c r="Q102" s="31" t="str">
        <f t="shared" si="5"/>
        <v/>
      </c>
      <c r="R102" s="16"/>
      <c r="S102" s="16"/>
      <c r="T102" s="16"/>
      <c r="U102" s="16"/>
    </row>
    <row r="103" spans="1:21" x14ac:dyDescent="0.25">
      <c r="A103" s="16"/>
      <c r="B103" s="16"/>
      <c r="C103" s="17"/>
      <c r="D103" s="17"/>
      <c r="E103" s="16"/>
      <c r="F103" s="16"/>
      <c r="G103" s="16"/>
      <c r="H103" s="31" t="str">
        <f>IF(OR(Admin!E103="", Admin!D103=""),
    "",
    IF(Admin!C103="M",
        INDEX('Table B-1'!$C$9:$AX$31, MATCH(Admin!E103, 'Table B-1'!$A$9:$A$31, 0), MATCH(MIN(40,Admin!D103), 'Table B-1'!$C$4:$Z$4, 1)),
        IF(Admin!C103="F",
            INDEX('Table B-1'!$AA$9:$AX$31, MATCH(Admin!E103, 'Table B-1'!$A$9:$A$31, 0), MATCH(MIN(40,Admin!D103), 'Table B-1'!$AA$4:$AX$4, 1)),
            ""
        )
    )
)</f>
        <v/>
      </c>
      <c r="I103" s="31" t="str">
        <f t="shared" si="3"/>
        <v/>
      </c>
      <c r="J103" s="16"/>
      <c r="K103" s="16"/>
      <c r="L103" s="16"/>
      <c r="M103" s="29" t="str">
        <f t="shared" si="4"/>
        <v/>
      </c>
      <c r="N103" s="30" t="str">
        <f>IF(OR(Admin!F103="", Admin!M103=""),
    "",
    IF(Admin!C103="M",
        IFERROR(INDEX('Figure B-1 Male'!$C$4:$AJ$164, MATCH(Admin!F103, 'Figure B-1 Male'!$B$4:$B$164, 0), MATCH(Admin!M103, 'Figure B-1 Male'!$C$3:$AJ$3, 1)) / 100, ""),
        IF(Admin!C103="F",
            IFERROR(INDEX('Figure B-2 Female'!$C$4:$AJ$164, MATCH(Admin!F103, 'Figure B-2 Female'!$B$4:$B$164, 0), MATCH(Admin!M103, 'Figure B-2 Female'!$C$3:$AJ$3, 1)) / 100, ""),
            ""
        )
    )
)</f>
        <v/>
      </c>
      <c r="O103" s="33" t="str">
        <f>IF(OR(F103="", M103=""),
    "",
    IF(Admin!C103="M",
        (-26.97 - (0.12 * F103) + (1.99 * M103)) / 100,
        IF(Admin!C103="F",
            (-9.15 - (0.015 * F103) + (1.27 * M103)) / 100,
            ""
        )
    )
)</f>
        <v/>
      </c>
      <c r="P103" s="30" t="str">
        <f>IF(OR(Admin!I103="Pass", Admin!I103=""),
    "",
    IF(Admin!D103="",
        "",
        IF(Admin!C103="M",
            INDEX('Table B-2'!$D$7:$D$30, MATCH(MIN(40, Admin!D103), 'Table B-2'!$C$7:$C$30, 0)),
            IF(Admin!C103="F",
                INDEX('Table B-2'!$F$7:$F$30, MATCH(MIN(40, Admin!D103), 'Table B-2'!$E$7:$E$30, 0)),
                ""
            )
        )
    )
)</f>
        <v/>
      </c>
      <c r="Q103" s="31" t="str">
        <f t="shared" si="5"/>
        <v/>
      </c>
      <c r="R103" s="16"/>
      <c r="S103" s="16"/>
      <c r="T103" s="16"/>
      <c r="U103" s="16"/>
    </row>
    <row r="104" spans="1:21" x14ac:dyDescent="0.25">
      <c r="A104" s="16"/>
      <c r="B104" s="16"/>
      <c r="C104" s="17"/>
      <c r="D104" s="17"/>
      <c r="E104" s="16"/>
      <c r="F104" s="16"/>
      <c r="G104" s="16"/>
      <c r="H104" s="31" t="str">
        <f>IF(OR(Admin!E104="", Admin!D104=""),
    "",
    IF(Admin!C104="M",
        INDEX('Table B-1'!$C$9:$AX$31, MATCH(Admin!E104, 'Table B-1'!$A$9:$A$31, 0), MATCH(MIN(40,Admin!D104), 'Table B-1'!$C$4:$Z$4, 1)),
        IF(Admin!C104="F",
            INDEX('Table B-1'!$AA$9:$AX$31, MATCH(Admin!E104, 'Table B-1'!$A$9:$A$31, 0), MATCH(MIN(40,Admin!D104), 'Table B-1'!$AA$4:$AX$4, 1)),
            ""
        )
    )
)</f>
        <v/>
      </c>
      <c r="I104" s="31" t="str">
        <f t="shared" si="3"/>
        <v/>
      </c>
      <c r="J104" s="16"/>
      <c r="K104" s="16"/>
      <c r="L104" s="16"/>
      <c r="M104" s="29" t="str">
        <f t="shared" si="4"/>
        <v/>
      </c>
      <c r="N104" s="30" t="str">
        <f>IF(OR(Admin!F104="", Admin!M104=""),
    "",
    IF(Admin!C104="M",
        IFERROR(INDEX('Figure B-1 Male'!$C$4:$AJ$164, MATCH(Admin!F104, 'Figure B-1 Male'!$B$4:$B$164, 0), MATCH(Admin!M104, 'Figure B-1 Male'!$C$3:$AJ$3, 1)) / 100, ""),
        IF(Admin!C104="F",
            IFERROR(INDEX('Figure B-2 Female'!$C$4:$AJ$164, MATCH(Admin!F104, 'Figure B-2 Female'!$B$4:$B$164, 0), MATCH(Admin!M104, 'Figure B-2 Female'!$C$3:$AJ$3, 1)) / 100, ""),
            ""
        )
    )
)</f>
        <v/>
      </c>
      <c r="O104" s="33" t="str">
        <f>IF(OR(F104="", M104=""),
    "",
    IF(Admin!C104="M",
        (-26.97 - (0.12 * F104) + (1.99 * M104)) / 100,
        IF(Admin!C104="F",
            (-9.15 - (0.015 * F104) + (1.27 * M104)) / 100,
            ""
        )
    )
)</f>
        <v/>
      </c>
      <c r="P104" s="30" t="str">
        <f>IF(OR(Admin!I104="Pass", Admin!I104=""),
    "",
    IF(Admin!D104="",
        "",
        IF(Admin!C104="M",
            INDEX('Table B-2'!$D$7:$D$30, MATCH(MIN(40, Admin!D104), 'Table B-2'!$C$7:$C$30, 0)),
            IF(Admin!C104="F",
                INDEX('Table B-2'!$F$7:$F$30, MATCH(MIN(40, Admin!D104), 'Table B-2'!$E$7:$E$30, 0)),
                ""
            )
        )
    )
)</f>
        <v/>
      </c>
      <c r="Q104" s="31" t="str">
        <f t="shared" si="5"/>
        <v/>
      </c>
      <c r="R104" s="16"/>
      <c r="S104" s="16"/>
      <c r="T104" s="16"/>
      <c r="U104" s="16"/>
    </row>
    <row r="105" spans="1:21" x14ac:dyDescent="0.25">
      <c r="I105" s="32" t="str">
        <f t="shared" si="3"/>
        <v/>
      </c>
      <c r="O105" s="34" t="str">
        <f>IF(OR(F105="", M105=""),
    "",
    IF(Admin!C105="M",
        (-26.97 - (0.12 * F105) + (1.99 * M105)) / 100,
        IF(Admin!C105="F",
            (-9.15 - (0.015 * F105) + (1.27 * M105)) / 100,
            ""
        )
    )
)</f>
        <v/>
      </c>
      <c r="Q105" s="31" t="str">
        <f t="shared" si="5"/>
        <v/>
      </c>
    </row>
  </sheetData>
  <sheetProtection sheet="1" objects="1" scenarios="1"/>
  <conditionalFormatting sqref="A6:F104">
    <cfRule type="expression" dxfId="6" priority="1">
      <formula>ISBLANK(A6)</formula>
    </cfRule>
  </conditionalFormatting>
  <conditionalFormatting sqref="I6:I104">
    <cfRule type="cellIs" dxfId="5" priority="4" operator="equal">
      <formula>"Pass"</formula>
    </cfRule>
  </conditionalFormatting>
  <conditionalFormatting sqref="I6:I105">
    <cfRule type="cellIs" dxfId="4" priority="6" operator="equal">
      <formula>"Needs Tape"</formula>
    </cfRule>
  </conditionalFormatting>
  <conditionalFormatting sqref="J6:L104">
    <cfRule type="expression" dxfId="3" priority="2">
      <formula>ISBLANK(J6)</formula>
    </cfRule>
  </conditionalFormatting>
  <conditionalFormatting sqref="N6:N104">
    <cfRule type="expression" dxfId="2" priority="5">
      <formula>AND(N6&lt;&gt;"", P6&lt;&gt;"", N6&gt;P6)</formula>
    </cfRule>
  </conditionalFormatting>
  <conditionalFormatting sqref="Q6:Q105">
    <cfRule type="cellIs" dxfId="1" priority="7" operator="equal">
      <formula>"Fail Tape"</formula>
    </cfRule>
    <cfRule type="cellIs" dxfId="0" priority="8" operator="equal">
      <formula>"Pass"</formula>
    </cfRule>
  </conditionalFormatting>
  <dataValidations count="2">
    <dataValidation type="list" showInputMessage="1" showErrorMessage="1" sqref="G6:G98" xr:uid="{DDF3B09D-8AF7-4AC5-988E-ADC531C81E68}">
      <formula1>"Yes,No"</formula1>
    </dataValidation>
    <dataValidation type="list" showInputMessage="1" showErrorMessage="1" sqref="C6:C104" xr:uid="{378D24B1-F022-47C1-972A-739D84AFE819}">
      <formula1>"M,F"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BE2E4-311F-4B1F-BBB4-F343C387E39F}">
  <sheetPr codeName="Sheet2"/>
  <dimension ref="A1:AX51"/>
  <sheetViews>
    <sheetView topLeftCell="A8" zoomScale="130" zoomScaleNormal="130" workbookViewId="0">
      <selection activeCell="B17" sqref="B17"/>
    </sheetView>
  </sheetViews>
  <sheetFormatPr defaultRowHeight="15" x14ac:dyDescent="0.25"/>
  <cols>
    <col min="3" max="3" width="9.140625" customWidth="1"/>
    <col min="4" max="5" width="6.140625" hidden="1" customWidth="1"/>
    <col min="6" max="6" width="11.28515625" hidden="1" customWidth="1"/>
    <col min="7" max="7" width="9.140625" customWidth="1"/>
    <col min="8" max="13" width="6.140625" hidden="1" customWidth="1"/>
    <col min="14" max="14" width="9.140625" customWidth="1"/>
    <col min="15" max="24" width="6.140625" hidden="1" customWidth="1"/>
    <col min="25" max="25" width="3.7109375" hidden="1" customWidth="1"/>
    <col min="26" max="27" width="9.140625" customWidth="1"/>
    <col min="28" max="30" width="4.28515625" hidden="1" customWidth="1"/>
    <col min="31" max="31" width="9.140625" customWidth="1"/>
    <col min="32" max="37" width="4.28515625" hidden="1" customWidth="1"/>
    <col min="38" max="38" width="9.140625" customWidth="1"/>
    <col min="39" max="49" width="4.28515625" hidden="1" customWidth="1"/>
    <col min="50" max="50" width="9.140625" customWidth="1"/>
  </cols>
  <sheetData>
    <row r="1" spans="1:50" hidden="1" x14ac:dyDescent="0.25"/>
    <row r="2" spans="1:50" hidden="1" x14ac:dyDescent="0.25"/>
    <row r="3" spans="1:50" hidden="1" x14ac:dyDescent="0.25"/>
    <row r="4" spans="1:50" hidden="1" x14ac:dyDescent="0.25">
      <c r="C4">
        <v>17</v>
      </c>
      <c r="D4">
        <v>18</v>
      </c>
      <c r="E4">
        <v>19</v>
      </c>
      <c r="F4">
        <v>20</v>
      </c>
      <c r="G4">
        <v>21</v>
      </c>
      <c r="H4">
        <v>22</v>
      </c>
      <c r="I4">
        <v>23</v>
      </c>
      <c r="J4">
        <v>24</v>
      </c>
      <c r="K4">
        <v>25</v>
      </c>
      <c r="L4">
        <v>26</v>
      </c>
      <c r="M4">
        <v>27</v>
      </c>
      <c r="N4">
        <v>28</v>
      </c>
      <c r="O4">
        <v>29</v>
      </c>
      <c r="P4">
        <v>30</v>
      </c>
      <c r="Q4">
        <v>31</v>
      </c>
      <c r="R4">
        <v>32</v>
      </c>
      <c r="S4">
        <v>33</v>
      </c>
      <c r="T4">
        <v>34</v>
      </c>
      <c r="U4">
        <v>35</v>
      </c>
      <c r="V4">
        <v>36</v>
      </c>
      <c r="W4">
        <v>37</v>
      </c>
      <c r="X4">
        <v>38</v>
      </c>
      <c r="Y4">
        <v>39</v>
      </c>
      <c r="Z4">
        <v>40</v>
      </c>
      <c r="AA4">
        <v>17</v>
      </c>
      <c r="AB4">
        <v>18</v>
      </c>
      <c r="AC4">
        <v>19</v>
      </c>
      <c r="AD4">
        <v>20</v>
      </c>
      <c r="AE4">
        <v>21</v>
      </c>
      <c r="AF4">
        <v>22</v>
      </c>
      <c r="AG4">
        <v>23</v>
      </c>
      <c r="AH4">
        <v>24</v>
      </c>
      <c r="AI4">
        <v>25</v>
      </c>
      <c r="AJ4">
        <v>26</v>
      </c>
      <c r="AK4">
        <v>27</v>
      </c>
      <c r="AL4">
        <v>28</v>
      </c>
      <c r="AM4">
        <v>29</v>
      </c>
      <c r="AN4">
        <v>30</v>
      </c>
      <c r="AO4">
        <v>31</v>
      </c>
      <c r="AP4">
        <v>32</v>
      </c>
      <c r="AQ4">
        <v>33</v>
      </c>
      <c r="AR4">
        <v>34</v>
      </c>
      <c r="AS4">
        <v>35</v>
      </c>
      <c r="AT4">
        <v>36</v>
      </c>
      <c r="AU4">
        <v>37</v>
      </c>
      <c r="AV4">
        <v>38</v>
      </c>
      <c r="AW4">
        <v>39</v>
      </c>
      <c r="AX4">
        <v>40</v>
      </c>
    </row>
    <row r="5" spans="1:50" x14ac:dyDescent="0.25">
      <c r="A5" s="21" t="s">
        <v>0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3"/>
    </row>
    <row r="6" spans="1:50" x14ac:dyDescent="0.25">
      <c r="A6" s="21" t="s">
        <v>1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3"/>
    </row>
    <row r="7" spans="1:50" x14ac:dyDescent="0.25">
      <c r="A7" s="1"/>
      <c r="B7" s="1"/>
      <c r="C7" s="21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3"/>
      <c r="AA7" s="21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3"/>
    </row>
    <row r="8" spans="1:50" ht="60" x14ac:dyDescent="0.25">
      <c r="A8" s="2" t="s">
        <v>4</v>
      </c>
      <c r="B8" s="2" t="s">
        <v>5</v>
      </c>
      <c r="C8" s="3" t="s">
        <v>6</v>
      </c>
      <c r="D8" s="3" t="s">
        <v>6</v>
      </c>
      <c r="E8" s="3" t="s">
        <v>6</v>
      </c>
      <c r="F8" s="3" t="s">
        <v>6</v>
      </c>
      <c r="G8" s="3" t="s">
        <v>7</v>
      </c>
      <c r="H8" s="3" t="s">
        <v>7</v>
      </c>
      <c r="I8" s="3" t="s">
        <v>7</v>
      </c>
      <c r="J8" s="3" t="s">
        <v>7</v>
      </c>
      <c r="K8" s="3" t="s">
        <v>7</v>
      </c>
      <c r="L8" s="3" t="s">
        <v>7</v>
      </c>
      <c r="M8" s="3" t="s">
        <v>7</v>
      </c>
      <c r="N8" s="3" t="s">
        <v>8</v>
      </c>
      <c r="O8" s="3" t="s">
        <v>8</v>
      </c>
      <c r="P8" s="3" t="s">
        <v>8</v>
      </c>
      <c r="Q8" s="3" t="s">
        <v>8</v>
      </c>
      <c r="R8" s="3" t="s">
        <v>8</v>
      </c>
      <c r="S8" s="3" t="s">
        <v>8</v>
      </c>
      <c r="T8" s="3" t="s">
        <v>8</v>
      </c>
      <c r="U8" s="3" t="s">
        <v>8</v>
      </c>
      <c r="V8" s="3" t="s">
        <v>8</v>
      </c>
      <c r="W8" s="3" t="s">
        <v>8</v>
      </c>
      <c r="X8" s="3" t="s">
        <v>8</v>
      </c>
      <c r="Y8" s="3" t="s">
        <v>8</v>
      </c>
      <c r="Z8" s="3">
        <v>40</v>
      </c>
      <c r="AA8" s="3" t="s">
        <v>6</v>
      </c>
      <c r="AB8" s="3"/>
      <c r="AC8" s="3"/>
      <c r="AD8" s="3"/>
      <c r="AE8" s="3" t="s">
        <v>7</v>
      </c>
      <c r="AF8" s="3"/>
      <c r="AG8" s="3"/>
      <c r="AH8" s="3"/>
      <c r="AI8" s="3"/>
      <c r="AJ8" s="3"/>
      <c r="AK8" s="3"/>
      <c r="AL8" s="3" t="s">
        <v>8</v>
      </c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>
        <v>40</v>
      </c>
    </row>
    <row r="9" spans="1:50" x14ac:dyDescent="0.25">
      <c r="A9" s="4">
        <v>58</v>
      </c>
      <c r="B9" s="4">
        <v>91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  <c r="H9" s="4" t="s">
        <v>10</v>
      </c>
      <c r="I9" s="4" t="s">
        <v>10</v>
      </c>
      <c r="J9" s="4" t="s">
        <v>10</v>
      </c>
      <c r="K9" s="4" t="s">
        <v>10</v>
      </c>
      <c r="L9" s="4" t="s">
        <v>10</v>
      </c>
      <c r="M9" s="4" t="s">
        <v>10</v>
      </c>
      <c r="N9" s="4" t="s">
        <v>10</v>
      </c>
      <c r="O9" s="4" t="s">
        <v>10</v>
      </c>
      <c r="P9" s="4" t="s">
        <v>10</v>
      </c>
      <c r="Q9" s="4" t="s">
        <v>10</v>
      </c>
      <c r="R9" s="4" t="s">
        <v>10</v>
      </c>
      <c r="S9" s="4" t="s">
        <v>10</v>
      </c>
      <c r="T9" s="4" t="s">
        <v>10</v>
      </c>
      <c r="U9" s="4" t="s">
        <v>10</v>
      </c>
      <c r="V9" s="4" t="s">
        <v>10</v>
      </c>
      <c r="W9" s="4" t="s">
        <v>10</v>
      </c>
      <c r="X9" s="4" t="s">
        <v>10</v>
      </c>
      <c r="Y9" s="4" t="s">
        <v>10</v>
      </c>
      <c r="Z9" s="4" t="s">
        <v>10</v>
      </c>
      <c r="AA9" s="4">
        <v>119</v>
      </c>
      <c r="AB9" s="4">
        <v>119</v>
      </c>
      <c r="AC9" s="4">
        <v>119</v>
      </c>
      <c r="AD9" s="4">
        <v>119</v>
      </c>
      <c r="AE9" s="4">
        <v>121</v>
      </c>
      <c r="AF9" s="4">
        <v>121</v>
      </c>
      <c r="AG9" s="4">
        <v>121</v>
      </c>
      <c r="AH9" s="4">
        <v>121</v>
      </c>
      <c r="AI9" s="4">
        <v>121</v>
      </c>
      <c r="AJ9" s="4">
        <v>121</v>
      </c>
      <c r="AK9" s="4">
        <v>121</v>
      </c>
      <c r="AL9" s="4">
        <v>122</v>
      </c>
      <c r="AM9" s="4">
        <v>122</v>
      </c>
      <c r="AN9" s="4">
        <v>122</v>
      </c>
      <c r="AO9" s="4">
        <v>122</v>
      </c>
      <c r="AP9" s="4">
        <v>122</v>
      </c>
      <c r="AQ9" s="4">
        <v>122</v>
      </c>
      <c r="AR9" s="4">
        <v>122</v>
      </c>
      <c r="AS9" s="4">
        <v>122</v>
      </c>
      <c r="AT9" s="4">
        <v>122</v>
      </c>
      <c r="AU9" s="4">
        <v>122</v>
      </c>
      <c r="AV9" s="4">
        <v>122</v>
      </c>
      <c r="AW9" s="4">
        <v>122</v>
      </c>
      <c r="AX9" s="4">
        <v>124</v>
      </c>
    </row>
    <row r="10" spans="1:50" x14ac:dyDescent="0.25">
      <c r="A10" s="4">
        <v>59</v>
      </c>
      <c r="B10" s="4">
        <v>94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  <c r="H10" s="4" t="s">
        <v>10</v>
      </c>
      <c r="I10" s="4" t="s">
        <v>10</v>
      </c>
      <c r="J10" s="4" t="s">
        <v>10</v>
      </c>
      <c r="K10" s="4" t="s">
        <v>10</v>
      </c>
      <c r="L10" s="4" t="s">
        <v>10</v>
      </c>
      <c r="M10" s="4" t="s">
        <v>10</v>
      </c>
      <c r="N10" s="4" t="s">
        <v>10</v>
      </c>
      <c r="O10" s="4" t="s">
        <v>10</v>
      </c>
      <c r="P10" s="4" t="s">
        <v>10</v>
      </c>
      <c r="Q10" s="4" t="s">
        <v>10</v>
      </c>
      <c r="R10" s="4" t="s">
        <v>10</v>
      </c>
      <c r="S10" s="4" t="s">
        <v>10</v>
      </c>
      <c r="T10" s="4" t="s">
        <v>10</v>
      </c>
      <c r="U10" s="4" t="s">
        <v>10</v>
      </c>
      <c r="V10" s="4" t="s">
        <v>10</v>
      </c>
      <c r="W10" s="4" t="s">
        <v>10</v>
      </c>
      <c r="X10" s="4" t="s">
        <v>10</v>
      </c>
      <c r="Y10" s="4" t="s">
        <v>10</v>
      </c>
      <c r="Z10" s="4" t="s">
        <v>10</v>
      </c>
      <c r="AA10" s="4">
        <v>124</v>
      </c>
      <c r="AB10" s="4">
        <v>124</v>
      </c>
      <c r="AC10" s="4">
        <v>124</v>
      </c>
      <c r="AD10" s="4">
        <v>124</v>
      </c>
      <c r="AE10" s="4">
        <v>125</v>
      </c>
      <c r="AF10" s="4">
        <v>125</v>
      </c>
      <c r="AG10" s="4">
        <v>125</v>
      </c>
      <c r="AH10" s="4">
        <v>125</v>
      </c>
      <c r="AI10" s="4">
        <v>125</v>
      </c>
      <c r="AJ10" s="4">
        <v>125</v>
      </c>
      <c r="AK10" s="4">
        <v>125</v>
      </c>
      <c r="AL10" s="4">
        <v>126</v>
      </c>
      <c r="AM10" s="4">
        <v>126</v>
      </c>
      <c r="AN10" s="4">
        <v>126</v>
      </c>
      <c r="AO10" s="4">
        <v>126</v>
      </c>
      <c r="AP10" s="4">
        <v>126</v>
      </c>
      <c r="AQ10" s="4">
        <v>126</v>
      </c>
      <c r="AR10" s="4">
        <v>126</v>
      </c>
      <c r="AS10" s="4">
        <v>126</v>
      </c>
      <c r="AT10" s="4">
        <v>126</v>
      </c>
      <c r="AU10" s="4">
        <v>126</v>
      </c>
      <c r="AV10" s="4">
        <v>126</v>
      </c>
      <c r="AW10" s="4">
        <v>126</v>
      </c>
      <c r="AX10" s="4">
        <v>128</v>
      </c>
    </row>
    <row r="11" spans="1:50" x14ac:dyDescent="0.25">
      <c r="A11" s="4">
        <v>60</v>
      </c>
      <c r="B11" s="4">
        <v>97</v>
      </c>
      <c r="C11" s="4">
        <v>132</v>
      </c>
      <c r="D11" s="4">
        <v>132</v>
      </c>
      <c r="E11" s="4">
        <v>132</v>
      </c>
      <c r="F11" s="4">
        <v>132</v>
      </c>
      <c r="G11" s="4">
        <v>136</v>
      </c>
      <c r="H11" s="4">
        <v>136</v>
      </c>
      <c r="I11" s="4">
        <v>136</v>
      </c>
      <c r="J11" s="4">
        <v>136</v>
      </c>
      <c r="K11" s="4">
        <v>136</v>
      </c>
      <c r="L11" s="4">
        <v>136</v>
      </c>
      <c r="M11" s="4">
        <v>136</v>
      </c>
      <c r="N11" s="4">
        <v>139</v>
      </c>
      <c r="O11" s="4">
        <v>139</v>
      </c>
      <c r="P11" s="4">
        <v>139</v>
      </c>
      <c r="Q11" s="4">
        <v>139</v>
      </c>
      <c r="R11" s="4">
        <v>139</v>
      </c>
      <c r="S11" s="4">
        <v>139</v>
      </c>
      <c r="T11" s="4">
        <v>139</v>
      </c>
      <c r="U11" s="4">
        <v>139</v>
      </c>
      <c r="V11" s="4">
        <v>139</v>
      </c>
      <c r="W11" s="4">
        <v>139</v>
      </c>
      <c r="X11" s="4">
        <v>139</v>
      </c>
      <c r="Y11" s="4">
        <v>139</v>
      </c>
      <c r="Z11" s="4">
        <v>141</v>
      </c>
      <c r="AA11" s="4">
        <v>128</v>
      </c>
      <c r="AB11" s="4">
        <v>128</v>
      </c>
      <c r="AC11" s="4">
        <v>128</v>
      </c>
      <c r="AD11" s="4">
        <v>128</v>
      </c>
      <c r="AE11" s="4">
        <v>129</v>
      </c>
      <c r="AF11" s="4">
        <v>129</v>
      </c>
      <c r="AG11" s="4">
        <v>129</v>
      </c>
      <c r="AH11" s="4">
        <v>129</v>
      </c>
      <c r="AI11" s="4">
        <v>129</v>
      </c>
      <c r="AJ11" s="4">
        <v>129</v>
      </c>
      <c r="AK11" s="4">
        <v>129</v>
      </c>
      <c r="AL11" s="4">
        <v>131</v>
      </c>
      <c r="AM11" s="4">
        <v>131</v>
      </c>
      <c r="AN11" s="4">
        <v>131</v>
      </c>
      <c r="AO11" s="4">
        <v>131</v>
      </c>
      <c r="AP11" s="4">
        <v>131</v>
      </c>
      <c r="AQ11" s="4">
        <v>131</v>
      </c>
      <c r="AR11" s="4">
        <v>131</v>
      </c>
      <c r="AS11" s="4">
        <v>131</v>
      </c>
      <c r="AT11" s="4">
        <v>131</v>
      </c>
      <c r="AU11" s="4">
        <v>131</v>
      </c>
      <c r="AV11" s="4">
        <v>131</v>
      </c>
      <c r="AW11" s="4">
        <v>131</v>
      </c>
      <c r="AX11" s="4">
        <v>133</v>
      </c>
    </row>
    <row r="12" spans="1:50" x14ac:dyDescent="0.25">
      <c r="A12" s="4">
        <v>61</v>
      </c>
      <c r="B12" s="4">
        <v>100</v>
      </c>
      <c r="C12" s="4">
        <v>136</v>
      </c>
      <c r="D12" s="4">
        <v>136</v>
      </c>
      <c r="E12" s="4">
        <v>136</v>
      </c>
      <c r="F12" s="4">
        <v>136</v>
      </c>
      <c r="G12" s="4">
        <v>140</v>
      </c>
      <c r="H12" s="4">
        <v>140</v>
      </c>
      <c r="I12" s="4">
        <v>140</v>
      </c>
      <c r="J12" s="4">
        <v>140</v>
      </c>
      <c r="K12" s="4">
        <v>140</v>
      </c>
      <c r="L12" s="4">
        <v>140</v>
      </c>
      <c r="M12" s="4">
        <v>140</v>
      </c>
      <c r="N12" s="4">
        <v>144</v>
      </c>
      <c r="O12" s="4">
        <v>144</v>
      </c>
      <c r="P12" s="4">
        <v>144</v>
      </c>
      <c r="Q12" s="4">
        <v>144</v>
      </c>
      <c r="R12" s="4">
        <v>144</v>
      </c>
      <c r="S12" s="4">
        <v>144</v>
      </c>
      <c r="T12" s="4">
        <v>144</v>
      </c>
      <c r="U12" s="4">
        <v>144</v>
      </c>
      <c r="V12" s="4">
        <v>144</v>
      </c>
      <c r="W12" s="4">
        <v>144</v>
      </c>
      <c r="X12" s="4">
        <v>144</v>
      </c>
      <c r="Y12" s="4">
        <v>144</v>
      </c>
      <c r="Z12" s="4">
        <v>146</v>
      </c>
      <c r="AA12" s="4">
        <v>132</v>
      </c>
      <c r="AB12" s="4">
        <v>132</v>
      </c>
      <c r="AC12" s="4">
        <v>132</v>
      </c>
      <c r="AD12" s="4">
        <v>132</v>
      </c>
      <c r="AE12" s="4">
        <v>134</v>
      </c>
      <c r="AF12" s="4">
        <v>134</v>
      </c>
      <c r="AG12" s="4">
        <v>134</v>
      </c>
      <c r="AH12" s="4">
        <v>134</v>
      </c>
      <c r="AI12" s="4">
        <v>134</v>
      </c>
      <c r="AJ12" s="4">
        <v>134</v>
      </c>
      <c r="AK12" s="4">
        <v>134</v>
      </c>
      <c r="AL12" s="4">
        <v>135</v>
      </c>
      <c r="AM12" s="4">
        <v>135</v>
      </c>
      <c r="AN12" s="4">
        <v>135</v>
      </c>
      <c r="AO12" s="4">
        <v>135</v>
      </c>
      <c r="AP12" s="4">
        <v>135</v>
      </c>
      <c r="AQ12" s="4">
        <v>135</v>
      </c>
      <c r="AR12" s="4">
        <v>135</v>
      </c>
      <c r="AS12" s="4">
        <v>135</v>
      </c>
      <c r="AT12" s="4">
        <v>135</v>
      </c>
      <c r="AU12" s="4">
        <v>135</v>
      </c>
      <c r="AV12" s="4">
        <v>135</v>
      </c>
      <c r="AW12" s="4">
        <v>135</v>
      </c>
      <c r="AX12" s="4">
        <v>137</v>
      </c>
    </row>
    <row r="13" spans="1:50" x14ac:dyDescent="0.25">
      <c r="A13" s="4">
        <v>62</v>
      </c>
      <c r="B13" s="4">
        <v>104</v>
      </c>
      <c r="C13" s="4">
        <v>141</v>
      </c>
      <c r="D13" s="4">
        <v>141</v>
      </c>
      <c r="E13" s="4">
        <v>141</v>
      </c>
      <c r="F13" s="4">
        <v>141</v>
      </c>
      <c r="G13" s="4">
        <v>144</v>
      </c>
      <c r="H13" s="4">
        <v>144</v>
      </c>
      <c r="I13" s="4">
        <v>144</v>
      </c>
      <c r="J13" s="4">
        <v>144</v>
      </c>
      <c r="K13" s="4">
        <v>144</v>
      </c>
      <c r="L13" s="4">
        <v>144</v>
      </c>
      <c r="M13" s="4">
        <v>144</v>
      </c>
      <c r="N13" s="4">
        <v>148</v>
      </c>
      <c r="O13" s="4">
        <v>148</v>
      </c>
      <c r="P13" s="4">
        <v>148</v>
      </c>
      <c r="Q13" s="4">
        <v>148</v>
      </c>
      <c r="R13" s="4">
        <v>148</v>
      </c>
      <c r="S13" s="4">
        <v>148</v>
      </c>
      <c r="T13" s="4">
        <v>148</v>
      </c>
      <c r="U13" s="4">
        <v>148</v>
      </c>
      <c r="V13" s="4">
        <v>148</v>
      </c>
      <c r="W13" s="4">
        <v>148</v>
      </c>
      <c r="X13" s="4">
        <v>148</v>
      </c>
      <c r="Y13" s="4">
        <v>148</v>
      </c>
      <c r="Z13" s="4">
        <v>150</v>
      </c>
      <c r="AA13" s="4">
        <v>136</v>
      </c>
      <c r="AB13" s="4">
        <v>136</v>
      </c>
      <c r="AC13" s="4">
        <v>136</v>
      </c>
      <c r="AD13" s="4">
        <v>136</v>
      </c>
      <c r="AE13" s="4">
        <v>138</v>
      </c>
      <c r="AF13" s="4">
        <v>138</v>
      </c>
      <c r="AG13" s="4">
        <v>138</v>
      </c>
      <c r="AH13" s="4">
        <v>138</v>
      </c>
      <c r="AI13" s="4">
        <v>138</v>
      </c>
      <c r="AJ13" s="4">
        <v>138</v>
      </c>
      <c r="AK13" s="4">
        <v>138</v>
      </c>
      <c r="AL13" s="4">
        <v>140</v>
      </c>
      <c r="AM13" s="4">
        <v>140</v>
      </c>
      <c r="AN13" s="4">
        <v>140</v>
      </c>
      <c r="AO13" s="4">
        <v>140</v>
      </c>
      <c r="AP13" s="4">
        <v>140</v>
      </c>
      <c r="AQ13" s="4">
        <v>140</v>
      </c>
      <c r="AR13" s="4">
        <v>140</v>
      </c>
      <c r="AS13" s="4">
        <v>140</v>
      </c>
      <c r="AT13" s="4">
        <v>140</v>
      </c>
      <c r="AU13" s="4">
        <v>140</v>
      </c>
      <c r="AV13" s="4">
        <v>140</v>
      </c>
      <c r="AW13" s="4">
        <v>140</v>
      </c>
      <c r="AX13" s="4">
        <v>142</v>
      </c>
    </row>
    <row r="14" spans="1:50" x14ac:dyDescent="0.25">
      <c r="A14" s="4">
        <v>63</v>
      </c>
      <c r="B14" s="4">
        <v>107</v>
      </c>
      <c r="C14" s="4">
        <v>145</v>
      </c>
      <c r="D14" s="4">
        <v>145</v>
      </c>
      <c r="E14" s="4">
        <v>145</v>
      </c>
      <c r="F14" s="4">
        <v>145</v>
      </c>
      <c r="G14" s="4">
        <v>149</v>
      </c>
      <c r="H14" s="4">
        <v>149</v>
      </c>
      <c r="I14" s="4">
        <v>149</v>
      </c>
      <c r="J14" s="4">
        <v>149</v>
      </c>
      <c r="K14" s="4">
        <v>149</v>
      </c>
      <c r="L14" s="4">
        <v>149</v>
      </c>
      <c r="M14" s="4">
        <v>149</v>
      </c>
      <c r="N14" s="4">
        <v>153</v>
      </c>
      <c r="O14" s="4">
        <v>153</v>
      </c>
      <c r="P14" s="4">
        <v>153</v>
      </c>
      <c r="Q14" s="4">
        <v>153</v>
      </c>
      <c r="R14" s="4">
        <v>153</v>
      </c>
      <c r="S14" s="4">
        <v>153</v>
      </c>
      <c r="T14" s="4">
        <v>153</v>
      </c>
      <c r="U14" s="4">
        <v>153</v>
      </c>
      <c r="V14" s="4">
        <v>153</v>
      </c>
      <c r="W14" s="4">
        <v>153</v>
      </c>
      <c r="X14" s="4">
        <v>153</v>
      </c>
      <c r="Y14" s="4">
        <v>153</v>
      </c>
      <c r="Z14" s="4">
        <v>155</v>
      </c>
      <c r="AA14" s="4">
        <v>141</v>
      </c>
      <c r="AB14" s="4">
        <v>141</v>
      </c>
      <c r="AC14" s="4">
        <v>141</v>
      </c>
      <c r="AD14" s="4">
        <v>141</v>
      </c>
      <c r="AE14" s="4">
        <v>143</v>
      </c>
      <c r="AF14" s="4">
        <v>143</v>
      </c>
      <c r="AG14" s="4">
        <v>143</v>
      </c>
      <c r="AH14" s="4">
        <v>143</v>
      </c>
      <c r="AI14" s="4">
        <v>143</v>
      </c>
      <c r="AJ14" s="4">
        <v>143</v>
      </c>
      <c r="AK14" s="4">
        <v>143</v>
      </c>
      <c r="AL14" s="4">
        <v>144</v>
      </c>
      <c r="AM14" s="4">
        <v>144</v>
      </c>
      <c r="AN14" s="4">
        <v>144</v>
      </c>
      <c r="AO14" s="4">
        <v>144</v>
      </c>
      <c r="AP14" s="4">
        <v>144</v>
      </c>
      <c r="AQ14" s="4">
        <v>144</v>
      </c>
      <c r="AR14" s="4">
        <v>144</v>
      </c>
      <c r="AS14" s="4">
        <v>144</v>
      </c>
      <c r="AT14" s="4">
        <v>144</v>
      </c>
      <c r="AU14" s="4">
        <v>144</v>
      </c>
      <c r="AV14" s="4">
        <v>144</v>
      </c>
      <c r="AW14" s="4">
        <v>144</v>
      </c>
      <c r="AX14" s="4">
        <v>146</v>
      </c>
    </row>
    <row r="15" spans="1:50" x14ac:dyDescent="0.25">
      <c r="A15" s="4">
        <v>64</v>
      </c>
      <c r="B15" s="4">
        <v>110</v>
      </c>
      <c r="C15" s="4">
        <v>150</v>
      </c>
      <c r="D15" s="4">
        <v>150</v>
      </c>
      <c r="E15" s="4">
        <v>150</v>
      </c>
      <c r="F15" s="4">
        <v>150</v>
      </c>
      <c r="G15" s="4">
        <v>154</v>
      </c>
      <c r="H15" s="4">
        <v>154</v>
      </c>
      <c r="I15" s="4">
        <v>154</v>
      </c>
      <c r="J15" s="4">
        <v>154</v>
      </c>
      <c r="K15" s="4">
        <v>154</v>
      </c>
      <c r="L15" s="4">
        <v>154</v>
      </c>
      <c r="M15" s="4">
        <v>154</v>
      </c>
      <c r="N15" s="4">
        <v>158</v>
      </c>
      <c r="O15" s="4">
        <v>158</v>
      </c>
      <c r="P15" s="4">
        <v>158</v>
      </c>
      <c r="Q15" s="4">
        <v>158</v>
      </c>
      <c r="R15" s="4">
        <v>158</v>
      </c>
      <c r="S15" s="4">
        <v>158</v>
      </c>
      <c r="T15" s="4">
        <v>158</v>
      </c>
      <c r="U15" s="4">
        <v>158</v>
      </c>
      <c r="V15" s="4">
        <v>158</v>
      </c>
      <c r="W15" s="4">
        <v>158</v>
      </c>
      <c r="X15" s="4">
        <v>158</v>
      </c>
      <c r="Y15" s="4">
        <v>158</v>
      </c>
      <c r="Z15" s="4">
        <v>160</v>
      </c>
      <c r="AA15" s="4">
        <v>145</v>
      </c>
      <c r="AB15" s="4">
        <v>145</v>
      </c>
      <c r="AC15" s="4">
        <v>145</v>
      </c>
      <c r="AD15" s="4">
        <v>145</v>
      </c>
      <c r="AE15" s="4">
        <v>147</v>
      </c>
      <c r="AF15" s="4">
        <v>147</v>
      </c>
      <c r="AG15" s="4">
        <v>147</v>
      </c>
      <c r="AH15" s="4">
        <v>147</v>
      </c>
      <c r="AI15" s="4">
        <v>147</v>
      </c>
      <c r="AJ15" s="4">
        <v>147</v>
      </c>
      <c r="AK15" s="4">
        <v>147</v>
      </c>
      <c r="AL15" s="4">
        <v>149</v>
      </c>
      <c r="AM15" s="4">
        <v>149</v>
      </c>
      <c r="AN15" s="4">
        <v>149</v>
      </c>
      <c r="AO15" s="4">
        <v>149</v>
      </c>
      <c r="AP15" s="4">
        <v>149</v>
      </c>
      <c r="AQ15" s="4">
        <v>149</v>
      </c>
      <c r="AR15" s="4">
        <v>149</v>
      </c>
      <c r="AS15" s="4">
        <v>149</v>
      </c>
      <c r="AT15" s="4">
        <v>149</v>
      </c>
      <c r="AU15" s="4">
        <v>149</v>
      </c>
      <c r="AV15" s="4">
        <v>149</v>
      </c>
      <c r="AW15" s="4">
        <v>149</v>
      </c>
      <c r="AX15" s="4">
        <v>151</v>
      </c>
    </row>
    <row r="16" spans="1:50" x14ac:dyDescent="0.25">
      <c r="A16" s="4">
        <v>65</v>
      </c>
      <c r="B16" s="4">
        <v>114</v>
      </c>
      <c r="C16" s="4">
        <v>155</v>
      </c>
      <c r="D16" s="4">
        <v>155</v>
      </c>
      <c r="E16" s="4">
        <v>155</v>
      </c>
      <c r="F16" s="4">
        <v>155</v>
      </c>
      <c r="G16" s="4">
        <v>159</v>
      </c>
      <c r="H16" s="4">
        <v>159</v>
      </c>
      <c r="I16" s="4">
        <v>159</v>
      </c>
      <c r="J16" s="4">
        <v>159</v>
      </c>
      <c r="K16" s="4">
        <v>159</v>
      </c>
      <c r="L16" s="4">
        <v>159</v>
      </c>
      <c r="M16" s="4">
        <v>159</v>
      </c>
      <c r="N16" s="4">
        <v>163</v>
      </c>
      <c r="O16" s="4">
        <v>163</v>
      </c>
      <c r="P16" s="4">
        <v>163</v>
      </c>
      <c r="Q16" s="4">
        <v>163</v>
      </c>
      <c r="R16" s="4">
        <v>163</v>
      </c>
      <c r="S16" s="4">
        <v>163</v>
      </c>
      <c r="T16" s="4">
        <v>163</v>
      </c>
      <c r="U16" s="4">
        <v>163</v>
      </c>
      <c r="V16" s="4">
        <v>163</v>
      </c>
      <c r="W16" s="4">
        <v>163</v>
      </c>
      <c r="X16" s="4">
        <v>163</v>
      </c>
      <c r="Y16" s="4">
        <v>163</v>
      </c>
      <c r="Z16" s="4">
        <v>165</v>
      </c>
      <c r="AA16" s="4">
        <v>150</v>
      </c>
      <c r="AB16" s="4">
        <v>150</v>
      </c>
      <c r="AC16" s="4">
        <v>150</v>
      </c>
      <c r="AD16" s="4">
        <v>150</v>
      </c>
      <c r="AE16" s="4">
        <v>152</v>
      </c>
      <c r="AF16" s="4">
        <v>152</v>
      </c>
      <c r="AG16" s="4">
        <v>152</v>
      </c>
      <c r="AH16" s="4">
        <v>152</v>
      </c>
      <c r="AI16" s="4">
        <v>152</v>
      </c>
      <c r="AJ16" s="4">
        <v>152</v>
      </c>
      <c r="AK16" s="4">
        <v>152</v>
      </c>
      <c r="AL16" s="4">
        <v>154</v>
      </c>
      <c r="AM16" s="4">
        <v>154</v>
      </c>
      <c r="AN16" s="4">
        <v>154</v>
      </c>
      <c r="AO16" s="4">
        <v>154</v>
      </c>
      <c r="AP16" s="4">
        <v>154</v>
      </c>
      <c r="AQ16" s="4">
        <v>154</v>
      </c>
      <c r="AR16" s="4">
        <v>154</v>
      </c>
      <c r="AS16" s="4">
        <v>154</v>
      </c>
      <c r="AT16" s="4">
        <v>154</v>
      </c>
      <c r="AU16" s="4">
        <v>154</v>
      </c>
      <c r="AV16" s="4">
        <v>154</v>
      </c>
      <c r="AW16" s="4">
        <v>154</v>
      </c>
      <c r="AX16" s="4">
        <v>156</v>
      </c>
    </row>
    <row r="17" spans="1:50" x14ac:dyDescent="0.25">
      <c r="A17" s="4">
        <v>66</v>
      </c>
      <c r="B17" s="4">
        <v>117</v>
      </c>
      <c r="C17" s="4">
        <v>160</v>
      </c>
      <c r="D17" s="4">
        <v>160</v>
      </c>
      <c r="E17" s="4">
        <v>160</v>
      </c>
      <c r="F17" s="4">
        <v>160</v>
      </c>
      <c r="G17" s="4">
        <v>163</v>
      </c>
      <c r="H17" s="4">
        <v>163</v>
      </c>
      <c r="I17" s="4">
        <v>163</v>
      </c>
      <c r="J17" s="4">
        <v>163</v>
      </c>
      <c r="K17" s="4">
        <v>163</v>
      </c>
      <c r="L17" s="4">
        <v>163</v>
      </c>
      <c r="M17" s="4">
        <v>163</v>
      </c>
      <c r="N17" s="4">
        <v>168</v>
      </c>
      <c r="O17" s="4">
        <v>168</v>
      </c>
      <c r="P17" s="4">
        <v>168</v>
      </c>
      <c r="Q17" s="4">
        <v>168</v>
      </c>
      <c r="R17" s="4">
        <v>168</v>
      </c>
      <c r="S17" s="4">
        <v>168</v>
      </c>
      <c r="T17" s="4">
        <v>168</v>
      </c>
      <c r="U17" s="4">
        <v>168</v>
      </c>
      <c r="V17" s="4">
        <v>168</v>
      </c>
      <c r="W17" s="4">
        <v>168</v>
      </c>
      <c r="X17" s="4">
        <v>168</v>
      </c>
      <c r="Y17" s="4">
        <v>168</v>
      </c>
      <c r="Z17" s="4">
        <v>170</v>
      </c>
      <c r="AA17" s="4">
        <v>155</v>
      </c>
      <c r="AB17" s="4">
        <v>155</v>
      </c>
      <c r="AC17" s="4">
        <v>155</v>
      </c>
      <c r="AD17" s="4">
        <v>155</v>
      </c>
      <c r="AE17" s="4">
        <v>156</v>
      </c>
      <c r="AF17" s="4">
        <v>156</v>
      </c>
      <c r="AG17" s="4">
        <v>156</v>
      </c>
      <c r="AH17" s="4">
        <v>156</v>
      </c>
      <c r="AI17" s="4">
        <v>156</v>
      </c>
      <c r="AJ17" s="4">
        <v>156</v>
      </c>
      <c r="AK17" s="4">
        <v>156</v>
      </c>
      <c r="AL17" s="4">
        <v>158</v>
      </c>
      <c r="AM17" s="4">
        <v>158</v>
      </c>
      <c r="AN17" s="4">
        <v>158</v>
      </c>
      <c r="AO17" s="4">
        <v>158</v>
      </c>
      <c r="AP17" s="4">
        <v>158</v>
      </c>
      <c r="AQ17" s="4">
        <v>158</v>
      </c>
      <c r="AR17" s="4">
        <v>158</v>
      </c>
      <c r="AS17" s="4">
        <v>158</v>
      </c>
      <c r="AT17" s="4">
        <v>158</v>
      </c>
      <c r="AU17" s="4">
        <v>158</v>
      </c>
      <c r="AV17" s="4">
        <v>158</v>
      </c>
      <c r="AW17" s="4">
        <v>158</v>
      </c>
      <c r="AX17" s="4">
        <v>161</v>
      </c>
    </row>
    <row r="18" spans="1:50" x14ac:dyDescent="0.25">
      <c r="A18" s="4">
        <v>67</v>
      </c>
      <c r="B18" s="4">
        <v>121</v>
      </c>
      <c r="C18" s="4">
        <v>165</v>
      </c>
      <c r="D18" s="4">
        <v>165</v>
      </c>
      <c r="E18" s="4">
        <v>165</v>
      </c>
      <c r="F18" s="4">
        <v>165</v>
      </c>
      <c r="G18" s="4">
        <v>169</v>
      </c>
      <c r="H18" s="4">
        <v>169</v>
      </c>
      <c r="I18" s="4">
        <v>169</v>
      </c>
      <c r="J18" s="4">
        <v>169</v>
      </c>
      <c r="K18" s="4">
        <v>169</v>
      </c>
      <c r="L18" s="4">
        <v>169</v>
      </c>
      <c r="M18" s="4">
        <v>169</v>
      </c>
      <c r="N18" s="4">
        <v>174</v>
      </c>
      <c r="O18" s="4">
        <v>174</v>
      </c>
      <c r="P18" s="4">
        <v>174</v>
      </c>
      <c r="Q18" s="4">
        <v>174</v>
      </c>
      <c r="R18" s="4">
        <v>174</v>
      </c>
      <c r="S18" s="4">
        <v>174</v>
      </c>
      <c r="T18" s="4">
        <v>174</v>
      </c>
      <c r="U18" s="4">
        <v>174</v>
      </c>
      <c r="V18" s="4">
        <v>174</v>
      </c>
      <c r="W18" s="4">
        <v>174</v>
      </c>
      <c r="X18" s="4">
        <v>174</v>
      </c>
      <c r="Y18" s="4">
        <v>174</v>
      </c>
      <c r="Z18" s="4">
        <v>176</v>
      </c>
      <c r="AA18" s="4">
        <v>159</v>
      </c>
      <c r="AB18" s="4">
        <v>159</v>
      </c>
      <c r="AC18" s="4">
        <v>159</v>
      </c>
      <c r="AD18" s="4">
        <v>159</v>
      </c>
      <c r="AE18" s="4">
        <v>161</v>
      </c>
      <c r="AF18" s="4">
        <v>161</v>
      </c>
      <c r="AG18" s="4">
        <v>161</v>
      </c>
      <c r="AH18" s="4">
        <v>161</v>
      </c>
      <c r="AI18" s="4">
        <v>161</v>
      </c>
      <c r="AJ18" s="4">
        <v>161</v>
      </c>
      <c r="AK18" s="4">
        <v>161</v>
      </c>
      <c r="AL18" s="4">
        <v>163</v>
      </c>
      <c r="AM18" s="4">
        <v>163</v>
      </c>
      <c r="AN18" s="4">
        <v>163</v>
      </c>
      <c r="AO18" s="4">
        <v>163</v>
      </c>
      <c r="AP18" s="4">
        <v>163</v>
      </c>
      <c r="AQ18" s="4">
        <v>163</v>
      </c>
      <c r="AR18" s="4">
        <v>163</v>
      </c>
      <c r="AS18" s="4">
        <v>163</v>
      </c>
      <c r="AT18" s="4">
        <v>163</v>
      </c>
      <c r="AU18" s="4">
        <v>163</v>
      </c>
      <c r="AV18" s="4">
        <v>163</v>
      </c>
      <c r="AW18" s="4">
        <v>163</v>
      </c>
      <c r="AX18" s="4">
        <v>166</v>
      </c>
    </row>
    <row r="19" spans="1:50" x14ac:dyDescent="0.25">
      <c r="A19" s="4">
        <v>68</v>
      </c>
      <c r="B19" s="4">
        <v>125</v>
      </c>
      <c r="C19" s="4">
        <v>170</v>
      </c>
      <c r="D19" s="4">
        <v>170</v>
      </c>
      <c r="E19" s="4">
        <v>170</v>
      </c>
      <c r="F19" s="4">
        <v>170</v>
      </c>
      <c r="G19" s="4">
        <v>174</v>
      </c>
      <c r="H19" s="4">
        <v>174</v>
      </c>
      <c r="I19" s="4">
        <v>174</v>
      </c>
      <c r="J19" s="4">
        <v>174</v>
      </c>
      <c r="K19" s="4">
        <v>174</v>
      </c>
      <c r="L19" s="4">
        <v>174</v>
      </c>
      <c r="M19" s="4">
        <v>174</v>
      </c>
      <c r="N19" s="4">
        <v>179</v>
      </c>
      <c r="O19" s="4">
        <v>179</v>
      </c>
      <c r="P19" s="4">
        <v>179</v>
      </c>
      <c r="Q19" s="4">
        <v>179</v>
      </c>
      <c r="R19" s="4">
        <v>179</v>
      </c>
      <c r="S19" s="4">
        <v>179</v>
      </c>
      <c r="T19" s="4">
        <v>179</v>
      </c>
      <c r="U19" s="4">
        <v>179</v>
      </c>
      <c r="V19" s="4">
        <v>179</v>
      </c>
      <c r="W19" s="4">
        <v>179</v>
      </c>
      <c r="X19" s="4">
        <v>179</v>
      </c>
      <c r="Y19" s="4">
        <v>179</v>
      </c>
      <c r="Z19" s="4">
        <v>181</v>
      </c>
      <c r="AA19" s="4">
        <v>164</v>
      </c>
      <c r="AB19" s="4">
        <v>164</v>
      </c>
      <c r="AC19" s="4">
        <v>164</v>
      </c>
      <c r="AD19" s="4">
        <v>164</v>
      </c>
      <c r="AE19" s="4">
        <v>166</v>
      </c>
      <c r="AF19" s="4">
        <v>166</v>
      </c>
      <c r="AG19" s="4">
        <v>166</v>
      </c>
      <c r="AH19" s="4">
        <v>166</v>
      </c>
      <c r="AI19" s="4">
        <v>166</v>
      </c>
      <c r="AJ19" s="4">
        <v>166</v>
      </c>
      <c r="AK19" s="4">
        <v>166</v>
      </c>
      <c r="AL19" s="4">
        <v>168</v>
      </c>
      <c r="AM19" s="4">
        <v>168</v>
      </c>
      <c r="AN19" s="4">
        <v>168</v>
      </c>
      <c r="AO19" s="4">
        <v>168</v>
      </c>
      <c r="AP19" s="4">
        <v>168</v>
      </c>
      <c r="AQ19" s="4">
        <v>168</v>
      </c>
      <c r="AR19" s="4">
        <v>168</v>
      </c>
      <c r="AS19" s="4">
        <v>168</v>
      </c>
      <c r="AT19" s="4">
        <v>168</v>
      </c>
      <c r="AU19" s="4">
        <v>168</v>
      </c>
      <c r="AV19" s="4">
        <v>168</v>
      </c>
      <c r="AW19" s="4">
        <v>168</v>
      </c>
      <c r="AX19" s="4">
        <v>171</v>
      </c>
    </row>
    <row r="20" spans="1:50" x14ac:dyDescent="0.25">
      <c r="A20" s="4">
        <v>69</v>
      </c>
      <c r="B20" s="4">
        <v>128</v>
      </c>
      <c r="C20" s="4">
        <v>175</v>
      </c>
      <c r="D20" s="4">
        <v>175</v>
      </c>
      <c r="E20" s="4">
        <v>175</v>
      </c>
      <c r="F20" s="4">
        <v>175</v>
      </c>
      <c r="G20" s="4">
        <v>179</v>
      </c>
      <c r="H20" s="4">
        <v>179</v>
      </c>
      <c r="I20" s="4">
        <v>179</v>
      </c>
      <c r="J20" s="4">
        <v>179</v>
      </c>
      <c r="K20" s="4">
        <v>179</v>
      </c>
      <c r="L20" s="4">
        <v>179</v>
      </c>
      <c r="M20" s="4">
        <v>179</v>
      </c>
      <c r="N20" s="4">
        <v>184</v>
      </c>
      <c r="O20" s="4">
        <v>184</v>
      </c>
      <c r="P20" s="4">
        <v>184</v>
      </c>
      <c r="Q20" s="4">
        <v>184</v>
      </c>
      <c r="R20" s="4">
        <v>184</v>
      </c>
      <c r="S20" s="4">
        <v>184</v>
      </c>
      <c r="T20" s="4">
        <v>184</v>
      </c>
      <c r="U20" s="4">
        <v>184</v>
      </c>
      <c r="V20" s="4">
        <v>184</v>
      </c>
      <c r="W20" s="4">
        <v>184</v>
      </c>
      <c r="X20" s="4">
        <v>184</v>
      </c>
      <c r="Y20" s="4">
        <v>184</v>
      </c>
      <c r="Z20" s="4">
        <v>186</v>
      </c>
      <c r="AA20" s="4">
        <v>169</v>
      </c>
      <c r="AB20" s="4">
        <v>169</v>
      </c>
      <c r="AC20" s="4">
        <v>169</v>
      </c>
      <c r="AD20" s="4">
        <v>169</v>
      </c>
      <c r="AE20" s="4">
        <v>171</v>
      </c>
      <c r="AF20" s="4">
        <v>171</v>
      </c>
      <c r="AG20" s="4">
        <v>171</v>
      </c>
      <c r="AH20" s="4">
        <v>171</v>
      </c>
      <c r="AI20" s="4">
        <v>171</v>
      </c>
      <c r="AJ20" s="4">
        <v>171</v>
      </c>
      <c r="AK20" s="4">
        <v>171</v>
      </c>
      <c r="AL20" s="4">
        <v>173</v>
      </c>
      <c r="AM20" s="4">
        <v>173</v>
      </c>
      <c r="AN20" s="4">
        <v>173</v>
      </c>
      <c r="AO20" s="4">
        <v>173</v>
      </c>
      <c r="AP20" s="4">
        <v>173</v>
      </c>
      <c r="AQ20" s="4">
        <v>173</v>
      </c>
      <c r="AR20" s="4">
        <v>173</v>
      </c>
      <c r="AS20" s="4">
        <v>173</v>
      </c>
      <c r="AT20" s="4">
        <v>173</v>
      </c>
      <c r="AU20" s="4">
        <v>173</v>
      </c>
      <c r="AV20" s="4">
        <v>173</v>
      </c>
      <c r="AW20" s="4">
        <v>173</v>
      </c>
      <c r="AX20" s="4">
        <v>176</v>
      </c>
    </row>
    <row r="21" spans="1:50" x14ac:dyDescent="0.25">
      <c r="A21" s="4">
        <v>70</v>
      </c>
      <c r="B21" s="4">
        <v>132</v>
      </c>
      <c r="C21" s="4">
        <v>180</v>
      </c>
      <c r="D21" s="4">
        <v>180</v>
      </c>
      <c r="E21" s="4">
        <v>180</v>
      </c>
      <c r="F21" s="4">
        <v>180</v>
      </c>
      <c r="G21" s="4">
        <v>185</v>
      </c>
      <c r="H21" s="4">
        <v>185</v>
      </c>
      <c r="I21" s="4">
        <v>185</v>
      </c>
      <c r="J21" s="4">
        <v>185</v>
      </c>
      <c r="K21" s="4">
        <v>185</v>
      </c>
      <c r="L21" s="4">
        <v>185</v>
      </c>
      <c r="M21" s="4">
        <v>185</v>
      </c>
      <c r="N21" s="4">
        <v>189</v>
      </c>
      <c r="O21" s="4">
        <v>189</v>
      </c>
      <c r="P21" s="4">
        <v>189</v>
      </c>
      <c r="Q21" s="4">
        <v>189</v>
      </c>
      <c r="R21" s="4">
        <v>189</v>
      </c>
      <c r="S21" s="4">
        <v>189</v>
      </c>
      <c r="T21" s="4">
        <v>189</v>
      </c>
      <c r="U21" s="4">
        <v>189</v>
      </c>
      <c r="V21" s="4">
        <v>189</v>
      </c>
      <c r="W21" s="4">
        <v>189</v>
      </c>
      <c r="X21" s="4">
        <v>189</v>
      </c>
      <c r="Y21" s="4">
        <v>189</v>
      </c>
      <c r="Z21" s="4">
        <v>192</v>
      </c>
      <c r="AA21" s="4">
        <v>174</v>
      </c>
      <c r="AB21" s="4">
        <v>174</v>
      </c>
      <c r="AC21" s="4">
        <v>174</v>
      </c>
      <c r="AD21" s="4">
        <v>174</v>
      </c>
      <c r="AE21" s="4">
        <v>176</v>
      </c>
      <c r="AF21" s="4">
        <v>176</v>
      </c>
      <c r="AG21" s="4">
        <v>176</v>
      </c>
      <c r="AH21" s="4">
        <v>176</v>
      </c>
      <c r="AI21" s="4">
        <v>176</v>
      </c>
      <c r="AJ21" s="4">
        <v>176</v>
      </c>
      <c r="AK21" s="4">
        <v>176</v>
      </c>
      <c r="AL21" s="4">
        <v>178</v>
      </c>
      <c r="AM21" s="4">
        <v>178</v>
      </c>
      <c r="AN21" s="4">
        <v>178</v>
      </c>
      <c r="AO21" s="4">
        <v>178</v>
      </c>
      <c r="AP21" s="4">
        <v>178</v>
      </c>
      <c r="AQ21" s="4">
        <v>178</v>
      </c>
      <c r="AR21" s="4">
        <v>178</v>
      </c>
      <c r="AS21" s="4">
        <v>178</v>
      </c>
      <c r="AT21" s="4">
        <v>178</v>
      </c>
      <c r="AU21" s="4">
        <v>178</v>
      </c>
      <c r="AV21" s="4">
        <v>178</v>
      </c>
      <c r="AW21" s="4">
        <v>178</v>
      </c>
      <c r="AX21" s="4">
        <v>181</v>
      </c>
    </row>
    <row r="22" spans="1:50" x14ac:dyDescent="0.25">
      <c r="A22" s="4">
        <v>71</v>
      </c>
      <c r="B22" s="4">
        <v>136</v>
      </c>
      <c r="C22" s="4">
        <v>185</v>
      </c>
      <c r="D22" s="4">
        <v>185</v>
      </c>
      <c r="E22" s="4">
        <v>185</v>
      </c>
      <c r="F22" s="4">
        <v>185</v>
      </c>
      <c r="G22" s="4">
        <v>189</v>
      </c>
      <c r="H22" s="4">
        <v>189</v>
      </c>
      <c r="I22" s="4">
        <v>189</v>
      </c>
      <c r="J22" s="4">
        <v>189</v>
      </c>
      <c r="K22" s="4">
        <v>189</v>
      </c>
      <c r="L22" s="4">
        <v>189</v>
      </c>
      <c r="M22" s="4">
        <v>189</v>
      </c>
      <c r="N22" s="4">
        <v>194</v>
      </c>
      <c r="O22" s="4">
        <v>194</v>
      </c>
      <c r="P22" s="4">
        <v>194</v>
      </c>
      <c r="Q22" s="4">
        <v>194</v>
      </c>
      <c r="R22" s="4">
        <v>194</v>
      </c>
      <c r="S22" s="4">
        <v>194</v>
      </c>
      <c r="T22" s="4">
        <v>194</v>
      </c>
      <c r="U22" s="4">
        <v>194</v>
      </c>
      <c r="V22" s="4">
        <v>194</v>
      </c>
      <c r="W22" s="4">
        <v>194</v>
      </c>
      <c r="X22" s="4">
        <v>194</v>
      </c>
      <c r="Y22" s="4">
        <v>194</v>
      </c>
      <c r="Z22" s="4">
        <v>197</v>
      </c>
      <c r="AA22" s="4">
        <v>179</v>
      </c>
      <c r="AB22" s="4">
        <v>179</v>
      </c>
      <c r="AC22" s="4">
        <v>179</v>
      </c>
      <c r="AD22" s="4">
        <v>179</v>
      </c>
      <c r="AE22" s="4">
        <v>181</v>
      </c>
      <c r="AF22" s="4">
        <v>181</v>
      </c>
      <c r="AG22" s="4">
        <v>181</v>
      </c>
      <c r="AH22" s="4">
        <v>181</v>
      </c>
      <c r="AI22" s="4">
        <v>181</v>
      </c>
      <c r="AJ22" s="4">
        <v>181</v>
      </c>
      <c r="AK22" s="4">
        <v>181</v>
      </c>
      <c r="AL22" s="4">
        <v>183</v>
      </c>
      <c r="AM22" s="4">
        <v>183</v>
      </c>
      <c r="AN22" s="4">
        <v>183</v>
      </c>
      <c r="AO22" s="4">
        <v>183</v>
      </c>
      <c r="AP22" s="4">
        <v>183</v>
      </c>
      <c r="AQ22" s="4">
        <v>183</v>
      </c>
      <c r="AR22" s="4">
        <v>183</v>
      </c>
      <c r="AS22" s="4">
        <v>183</v>
      </c>
      <c r="AT22" s="4">
        <v>183</v>
      </c>
      <c r="AU22" s="4">
        <v>183</v>
      </c>
      <c r="AV22" s="4">
        <v>183</v>
      </c>
      <c r="AW22" s="4">
        <v>183</v>
      </c>
      <c r="AX22" s="4">
        <v>186</v>
      </c>
    </row>
    <row r="23" spans="1:50" x14ac:dyDescent="0.25">
      <c r="A23" s="4">
        <v>72</v>
      </c>
      <c r="B23" s="4">
        <v>140</v>
      </c>
      <c r="C23" s="4">
        <v>190</v>
      </c>
      <c r="D23" s="4">
        <v>190</v>
      </c>
      <c r="E23" s="4">
        <v>190</v>
      </c>
      <c r="F23" s="4">
        <v>190</v>
      </c>
      <c r="G23" s="4">
        <v>195</v>
      </c>
      <c r="H23" s="4">
        <v>195</v>
      </c>
      <c r="I23" s="4">
        <v>195</v>
      </c>
      <c r="J23" s="4">
        <v>195</v>
      </c>
      <c r="K23" s="4">
        <v>195</v>
      </c>
      <c r="L23" s="4">
        <v>195</v>
      </c>
      <c r="M23" s="4">
        <v>195</v>
      </c>
      <c r="N23" s="4">
        <v>200</v>
      </c>
      <c r="O23" s="4">
        <v>200</v>
      </c>
      <c r="P23" s="4">
        <v>200</v>
      </c>
      <c r="Q23" s="4">
        <v>200</v>
      </c>
      <c r="R23" s="4">
        <v>200</v>
      </c>
      <c r="S23" s="4">
        <v>200</v>
      </c>
      <c r="T23" s="4">
        <v>200</v>
      </c>
      <c r="U23" s="4">
        <v>200</v>
      </c>
      <c r="V23" s="4">
        <v>200</v>
      </c>
      <c r="W23" s="4">
        <v>200</v>
      </c>
      <c r="X23" s="4">
        <v>200</v>
      </c>
      <c r="Y23" s="4">
        <v>200</v>
      </c>
      <c r="Z23" s="4">
        <v>203</v>
      </c>
      <c r="AA23" s="4">
        <v>184</v>
      </c>
      <c r="AB23" s="4">
        <v>184</v>
      </c>
      <c r="AC23" s="4">
        <v>184</v>
      </c>
      <c r="AD23" s="4">
        <v>184</v>
      </c>
      <c r="AE23" s="4">
        <v>186</v>
      </c>
      <c r="AF23" s="4">
        <v>186</v>
      </c>
      <c r="AG23" s="4">
        <v>186</v>
      </c>
      <c r="AH23" s="4">
        <v>186</v>
      </c>
      <c r="AI23" s="4">
        <v>186</v>
      </c>
      <c r="AJ23" s="4">
        <v>186</v>
      </c>
      <c r="AK23" s="4">
        <v>186</v>
      </c>
      <c r="AL23" s="4">
        <v>188</v>
      </c>
      <c r="AM23" s="4">
        <v>188</v>
      </c>
      <c r="AN23" s="4">
        <v>188</v>
      </c>
      <c r="AO23" s="4">
        <v>188</v>
      </c>
      <c r="AP23" s="4">
        <v>188</v>
      </c>
      <c r="AQ23" s="4">
        <v>188</v>
      </c>
      <c r="AR23" s="4">
        <v>188</v>
      </c>
      <c r="AS23" s="4">
        <v>188</v>
      </c>
      <c r="AT23" s="4">
        <v>188</v>
      </c>
      <c r="AU23" s="4">
        <v>188</v>
      </c>
      <c r="AV23" s="4">
        <v>188</v>
      </c>
      <c r="AW23" s="4">
        <v>188</v>
      </c>
      <c r="AX23" s="4">
        <v>191</v>
      </c>
    </row>
    <row r="24" spans="1:50" x14ac:dyDescent="0.25">
      <c r="A24" s="4">
        <v>73</v>
      </c>
      <c r="B24" s="4">
        <v>144</v>
      </c>
      <c r="C24" s="4">
        <v>195</v>
      </c>
      <c r="D24" s="4">
        <v>195</v>
      </c>
      <c r="E24" s="4">
        <v>195</v>
      </c>
      <c r="F24" s="4">
        <v>195</v>
      </c>
      <c r="G24" s="4">
        <v>200</v>
      </c>
      <c r="H24" s="4">
        <v>200</v>
      </c>
      <c r="I24" s="4">
        <v>200</v>
      </c>
      <c r="J24" s="4">
        <v>200</v>
      </c>
      <c r="K24" s="4">
        <v>200</v>
      </c>
      <c r="L24" s="4">
        <v>200</v>
      </c>
      <c r="M24" s="4">
        <v>200</v>
      </c>
      <c r="N24" s="4">
        <v>205</v>
      </c>
      <c r="O24" s="4">
        <v>205</v>
      </c>
      <c r="P24" s="4">
        <v>205</v>
      </c>
      <c r="Q24" s="4">
        <v>205</v>
      </c>
      <c r="R24" s="4">
        <v>205</v>
      </c>
      <c r="S24" s="4">
        <v>205</v>
      </c>
      <c r="T24" s="4">
        <v>205</v>
      </c>
      <c r="U24" s="4">
        <v>205</v>
      </c>
      <c r="V24" s="4">
        <v>205</v>
      </c>
      <c r="W24" s="4">
        <v>205</v>
      </c>
      <c r="X24" s="4">
        <v>205</v>
      </c>
      <c r="Y24" s="4">
        <v>205</v>
      </c>
      <c r="Z24" s="4">
        <v>208</v>
      </c>
      <c r="AA24" s="4">
        <v>189</v>
      </c>
      <c r="AB24" s="4">
        <v>189</v>
      </c>
      <c r="AC24" s="4">
        <v>189</v>
      </c>
      <c r="AD24" s="4">
        <v>189</v>
      </c>
      <c r="AE24" s="4">
        <v>191</v>
      </c>
      <c r="AF24" s="4">
        <v>191</v>
      </c>
      <c r="AG24" s="4">
        <v>191</v>
      </c>
      <c r="AH24" s="4">
        <v>191</v>
      </c>
      <c r="AI24" s="4">
        <v>191</v>
      </c>
      <c r="AJ24" s="4">
        <v>191</v>
      </c>
      <c r="AK24" s="4">
        <v>191</v>
      </c>
      <c r="AL24" s="4">
        <v>194</v>
      </c>
      <c r="AM24" s="4">
        <v>194</v>
      </c>
      <c r="AN24" s="4">
        <v>194</v>
      </c>
      <c r="AO24" s="4">
        <v>194</v>
      </c>
      <c r="AP24" s="4">
        <v>194</v>
      </c>
      <c r="AQ24" s="4">
        <v>194</v>
      </c>
      <c r="AR24" s="4">
        <v>194</v>
      </c>
      <c r="AS24" s="4">
        <v>194</v>
      </c>
      <c r="AT24" s="4">
        <v>194</v>
      </c>
      <c r="AU24" s="4">
        <v>194</v>
      </c>
      <c r="AV24" s="4">
        <v>194</v>
      </c>
      <c r="AW24" s="4">
        <v>194</v>
      </c>
      <c r="AX24" s="4">
        <v>197</v>
      </c>
    </row>
    <row r="25" spans="1:50" x14ac:dyDescent="0.25">
      <c r="A25" s="4">
        <v>74</v>
      </c>
      <c r="B25" s="4">
        <v>148</v>
      </c>
      <c r="C25" s="4">
        <v>201</v>
      </c>
      <c r="D25" s="4">
        <v>201</v>
      </c>
      <c r="E25" s="4">
        <v>201</v>
      </c>
      <c r="F25" s="4">
        <v>201</v>
      </c>
      <c r="G25" s="4">
        <v>206</v>
      </c>
      <c r="H25" s="4">
        <v>206</v>
      </c>
      <c r="I25" s="4">
        <v>206</v>
      </c>
      <c r="J25" s="4">
        <v>206</v>
      </c>
      <c r="K25" s="4">
        <v>206</v>
      </c>
      <c r="L25" s="4">
        <v>206</v>
      </c>
      <c r="M25" s="4">
        <v>206</v>
      </c>
      <c r="N25" s="4">
        <v>211</v>
      </c>
      <c r="O25" s="4">
        <v>211</v>
      </c>
      <c r="P25" s="4">
        <v>211</v>
      </c>
      <c r="Q25" s="4">
        <v>211</v>
      </c>
      <c r="R25" s="4">
        <v>211</v>
      </c>
      <c r="S25" s="4">
        <v>211</v>
      </c>
      <c r="T25" s="4">
        <v>211</v>
      </c>
      <c r="U25" s="4">
        <v>211</v>
      </c>
      <c r="V25" s="4">
        <v>211</v>
      </c>
      <c r="W25" s="4">
        <v>211</v>
      </c>
      <c r="X25" s="4">
        <v>211</v>
      </c>
      <c r="Y25" s="4">
        <v>211</v>
      </c>
      <c r="Z25" s="4">
        <v>214</v>
      </c>
      <c r="AA25" s="4">
        <v>194</v>
      </c>
      <c r="AB25" s="4">
        <v>194</v>
      </c>
      <c r="AC25" s="4">
        <v>194</v>
      </c>
      <c r="AD25" s="4">
        <v>194</v>
      </c>
      <c r="AE25" s="4">
        <v>197</v>
      </c>
      <c r="AF25" s="4">
        <v>197</v>
      </c>
      <c r="AG25" s="4">
        <v>197</v>
      </c>
      <c r="AH25" s="4">
        <v>197</v>
      </c>
      <c r="AI25" s="4">
        <v>197</v>
      </c>
      <c r="AJ25" s="4">
        <v>197</v>
      </c>
      <c r="AK25" s="4">
        <v>197</v>
      </c>
      <c r="AL25" s="4">
        <v>199</v>
      </c>
      <c r="AM25" s="4">
        <v>199</v>
      </c>
      <c r="AN25" s="4">
        <v>199</v>
      </c>
      <c r="AO25" s="4">
        <v>199</v>
      </c>
      <c r="AP25" s="4">
        <v>199</v>
      </c>
      <c r="AQ25" s="4">
        <v>199</v>
      </c>
      <c r="AR25" s="4">
        <v>199</v>
      </c>
      <c r="AS25" s="4">
        <v>199</v>
      </c>
      <c r="AT25" s="4">
        <v>199</v>
      </c>
      <c r="AU25" s="4">
        <v>199</v>
      </c>
      <c r="AV25" s="4">
        <v>199</v>
      </c>
      <c r="AW25" s="4">
        <v>199</v>
      </c>
      <c r="AX25" s="4">
        <v>202</v>
      </c>
    </row>
    <row r="26" spans="1:50" x14ac:dyDescent="0.25">
      <c r="A26" s="4">
        <v>75</v>
      </c>
      <c r="B26" s="4">
        <v>152</v>
      </c>
      <c r="C26" s="4">
        <v>206</v>
      </c>
      <c r="D26" s="4">
        <v>206</v>
      </c>
      <c r="E26" s="4">
        <v>206</v>
      </c>
      <c r="F26" s="4">
        <v>206</v>
      </c>
      <c r="G26" s="4">
        <v>212</v>
      </c>
      <c r="H26" s="4">
        <v>212</v>
      </c>
      <c r="I26" s="4">
        <v>212</v>
      </c>
      <c r="J26" s="4">
        <v>212</v>
      </c>
      <c r="K26" s="4">
        <v>212</v>
      </c>
      <c r="L26" s="4">
        <v>212</v>
      </c>
      <c r="M26" s="4">
        <v>212</v>
      </c>
      <c r="N26" s="4">
        <v>217</v>
      </c>
      <c r="O26" s="4">
        <v>217</v>
      </c>
      <c r="P26" s="4">
        <v>217</v>
      </c>
      <c r="Q26" s="4">
        <v>217</v>
      </c>
      <c r="R26" s="4">
        <v>217</v>
      </c>
      <c r="S26" s="4">
        <v>217</v>
      </c>
      <c r="T26" s="4">
        <v>217</v>
      </c>
      <c r="U26" s="4">
        <v>217</v>
      </c>
      <c r="V26" s="4">
        <v>217</v>
      </c>
      <c r="W26" s="4">
        <v>217</v>
      </c>
      <c r="X26" s="4">
        <v>217</v>
      </c>
      <c r="Y26" s="4">
        <v>217</v>
      </c>
      <c r="Z26" s="4">
        <v>220</v>
      </c>
      <c r="AA26" s="4">
        <v>200</v>
      </c>
      <c r="AB26" s="4">
        <v>200</v>
      </c>
      <c r="AC26" s="4">
        <v>200</v>
      </c>
      <c r="AD26" s="4">
        <v>200</v>
      </c>
      <c r="AE26" s="4">
        <v>202</v>
      </c>
      <c r="AF26" s="4">
        <v>202</v>
      </c>
      <c r="AG26" s="4">
        <v>202</v>
      </c>
      <c r="AH26" s="4">
        <v>202</v>
      </c>
      <c r="AI26" s="4">
        <v>202</v>
      </c>
      <c r="AJ26" s="4">
        <v>202</v>
      </c>
      <c r="AK26" s="4">
        <v>202</v>
      </c>
      <c r="AL26" s="4">
        <v>204</v>
      </c>
      <c r="AM26" s="4">
        <v>204</v>
      </c>
      <c r="AN26" s="4">
        <v>204</v>
      </c>
      <c r="AO26" s="4">
        <v>204</v>
      </c>
      <c r="AP26" s="4">
        <v>204</v>
      </c>
      <c r="AQ26" s="4">
        <v>204</v>
      </c>
      <c r="AR26" s="4">
        <v>204</v>
      </c>
      <c r="AS26" s="4">
        <v>204</v>
      </c>
      <c r="AT26" s="4">
        <v>204</v>
      </c>
      <c r="AU26" s="4">
        <v>204</v>
      </c>
      <c r="AV26" s="4">
        <v>204</v>
      </c>
      <c r="AW26" s="4">
        <v>204</v>
      </c>
      <c r="AX26" s="4">
        <v>208</v>
      </c>
    </row>
    <row r="27" spans="1:50" x14ac:dyDescent="0.25">
      <c r="A27" s="4">
        <v>76</v>
      </c>
      <c r="B27" s="4">
        <v>156</v>
      </c>
      <c r="C27" s="4">
        <v>212</v>
      </c>
      <c r="D27" s="4">
        <v>212</v>
      </c>
      <c r="E27" s="4">
        <v>212</v>
      </c>
      <c r="F27" s="4">
        <v>212</v>
      </c>
      <c r="G27" s="4">
        <v>217</v>
      </c>
      <c r="H27" s="4">
        <v>217</v>
      </c>
      <c r="I27" s="4">
        <v>217</v>
      </c>
      <c r="J27" s="4">
        <v>217</v>
      </c>
      <c r="K27" s="4">
        <v>217</v>
      </c>
      <c r="L27" s="4">
        <v>217</v>
      </c>
      <c r="M27" s="4">
        <v>217</v>
      </c>
      <c r="N27" s="4">
        <v>223</v>
      </c>
      <c r="O27" s="4">
        <v>223</v>
      </c>
      <c r="P27" s="4">
        <v>223</v>
      </c>
      <c r="Q27" s="4">
        <v>223</v>
      </c>
      <c r="R27" s="4">
        <v>223</v>
      </c>
      <c r="S27" s="4">
        <v>223</v>
      </c>
      <c r="T27" s="4">
        <v>223</v>
      </c>
      <c r="U27" s="4">
        <v>223</v>
      </c>
      <c r="V27" s="4">
        <v>223</v>
      </c>
      <c r="W27" s="4">
        <v>223</v>
      </c>
      <c r="X27" s="4">
        <v>223</v>
      </c>
      <c r="Y27" s="4">
        <v>223</v>
      </c>
      <c r="Z27" s="4">
        <v>226</v>
      </c>
      <c r="AA27" s="4">
        <v>205</v>
      </c>
      <c r="AB27" s="4">
        <v>205</v>
      </c>
      <c r="AC27" s="4">
        <v>205</v>
      </c>
      <c r="AD27" s="4">
        <v>205</v>
      </c>
      <c r="AE27" s="4">
        <v>207</v>
      </c>
      <c r="AF27" s="4">
        <v>207</v>
      </c>
      <c r="AG27" s="4">
        <v>207</v>
      </c>
      <c r="AH27" s="4">
        <v>207</v>
      </c>
      <c r="AI27" s="4">
        <v>207</v>
      </c>
      <c r="AJ27" s="4">
        <v>207</v>
      </c>
      <c r="AK27" s="4">
        <v>207</v>
      </c>
      <c r="AL27" s="4">
        <v>210</v>
      </c>
      <c r="AM27" s="4">
        <v>210</v>
      </c>
      <c r="AN27" s="4">
        <v>210</v>
      </c>
      <c r="AO27" s="4">
        <v>210</v>
      </c>
      <c r="AP27" s="4">
        <v>210</v>
      </c>
      <c r="AQ27" s="4">
        <v>210</v>
      </c>
      <c r="AR27" s="4">
        <v>210</v>
      </c>
      <c r="AS27" s="4">
        <v>210</v>
      </c>
      <c r="AT27" s="4">
        <v>210</v>
      </c>
      <c r="AU27" s="4">
        <v>210</v>
      </c>
      <c r="AV27" s="4">
        <v>210</v>
      </c>
      <c r="AW27" s="4">
        <v>210</v>
      </c>
      <c r="AX27" s="4">
        <v>213</v>
      </c>
    </row>
    <row r="28" spans="1:50" x14ac:dyDescent="0.25">
      <c r="A28" s="4">
        <v>77</v>
      </c>
      <c r="B28" s="4">
        <v>160</v>
      </c>
      <c r="C28" s="4">
        <v>218</v>
      </c>
      <c r="D28" s="4">
        <v>218</v>
      </c>
      <c r="E28" s="4">
        <v>218</v>
      </c>
      <c r="F28" s="4">
        <v>218</v>
      </c>
      <c r="G28" s="4">
        <v>223</v>
      </c>
      <c r="H28" s="4">
        <v>223</v>
      </c>
      <c r="I28" s="4">
        <v>223</v>
      </c>
      <c r="J28" s="4">
        <v>223</v>
      </c>
      <c r="K28" s="4">
        <v>223</v>
      </c>
      <c r="L28" s="4">
        <v>223</v>
      </c>
      <c r="M28" s="4">
        <v>223</v>
      </c>
      <c r="N28" s="4">
        <v>229</v>
      </c>
      <c r="O28" s="4">
        <v>229</v>
      </c>
      <c r="P28" s="4">
        <v>229</v>
      </c>
      <c r="Q28" s="4">
        <v>229</v>
      </c>
      <c r="R28" s="4">
        <v>229</v>
      </c>
      <c r="S28" s="4">
        <v>229</v>
      </c>
      <c r="T28" s="4">
        <v>229</v>
      </c>
      <c r="U28" s="4">
        <v>229</v>
      </c>
      <c r="V28" s="4">
        <v>229</v>
      </c>
      <c r="W28" s="4">
        <v>229</v>
      </c>
      <c r="X28" s="4">
        <v>229</v>
      </c>
      <c r="Y28" s="4">
        <v>229</v>
      </c>
      <c r="Z28" s="4">
        <v>232</v>
      </c>
      <c r="AA28" s="4">
        <v>210</v>
      </c>
      <c r="AB28" s="4">
        <v>210</v>
      </c>
      <c r="AC28" s="4">
        <v>210</v>
      </c>
      <c r="AD28" s="4">
        <v>210</v>
      </c>
      <c r="AE28" s="4">
        <v>213</v>
      </c>
      <c r="AF28" s="4">
        <v>213</v>
      </c>
      <c r="AG28" s="4">
        <v>213</v>
      </c>
      <c r="AH28" s="4">
        <v>213</v>
      </c>
      <c r="AI28" s="4">
        <v>213</v>
      </c>
      <c r="AJ28" s="4">
        <v>213</v>
      </c>
      <c r="AK28" s="4">
        <v>213</v>
      </c>
      <c r="AL28" s="4">
        <v>215</v>
      </c>
      <c r="AM28" s="4">
        <v>215</v>
      </c>
      <c r="AN28" s="4">
        <v>215</v>
      </c>
      <c r="AO28" s="4">
        <v>215</v>
      </c>
      <c r="AP28" s="4">
        <v>215</v>
      </c>
      <c r="AQ28" s="4">
        <v>215</v>
      </c>
      <c r="AR28" s="4">
        <v>215</v>
      </c>
      <c r="AS28" s="4">
        <v>215</v>
      </c>
      <c r="AT28" s="4">
        <v>215</v>
      </c>
      <c r="AU28" s="4">
        <v>215</v>
      </c>
      <c r="AV28" s="4">
        <v>215</v>
      </c>
      <c r="AW28" s="4">
        <v>215</v>
      </c>
      <c r="AX28" s="4">
        <v>219</v>
      </c>
    </row>
    <row r="29" spans="1:50" x14ac:dyDescent="0.25">
      <c r="A29" s="4">
        <v>78</v>
      </c>
      <c r="B29" s="4">
        <v>164</v>
      </c>
      <c r="C29" s="4">
        <v>223</v>
      </c>
      <c r="D29" s="4">
        <v>223</v>
      </c>
      <c r="E29" s="4">
        <v>223</v>
      </c>
      <c r="F29" s="4">
        <v>223</v>
      </c>
      <c r="G29" s="4">
        <v>229</v>
      </c>
      <c r="H29" s="4">
        <v>229</v>
      </c>
      <c r="I29" s="4">
        <v>229</v>
      </c>
      <c r="J29" s="4">
        <v>229</v>
      </c>
      <c r="K29" s="4">
        <v>229</v>
      </c>
      <c r="L29" s="4">
        <v>229</v>
      </c>
      <c r="M29" s="4">
        <v>229</v>
      </c>
      <c r="N29" s="4">
        <v>235</v>
      </c>
      <c r="O29" s="4">
        <v>235</v>
      </c>
      <c r="P29" s="4">
        <v>235</v>
      </c>
      <c r="Q29" s="4">
        <v>235</v>
      </c>
      <c r="R29" s="4">
        <v>235</v>
      </c>
      <c r="S29" s="4">
        <v>235</v>
      </c>
      <c r="T29" s="4">
        <v>235</v>
      </c>
      <c r="U29" s="4">
        <v>235</v>
      </c>
      <c r="V29" s="4">
        <v>235</v>
      </c>
      <c r="W29" s="4">
        <v>235</v>
      </c>
      <c r="X29" s="4">
        <v>235</v>
      </c>
      <c r="Y29" s="4">
        <v>235</v>
      </c>
      <c r="Z29" s="4">
        <v>238</v>
      </c>
      <c r="AA29" s="4">
        <v>216</v>
      </c>
      <c r="AB29" s="4">
        <v>216</v>
      </c>
      <c r="AC29" s="4">
        <v>216</v>
      </c>
      <c r="AD29" s="4">
        <v>216</v>
      </c>
      <c r="AE29" s="4">
        <v>218</v>
      </c>
      <c r="AF29" s="4">
        <v>218</v>
      </c>
      <c r="AG29" s="4">
        <v>218</v>
      </c>
      <c r="AH29" s="4">
        <v>218</v>
      </c>
      <c r="AI29" s="4">
        <v>218</v>
      </c>
      <c r="AJ29" s="4">
        <v>218</v>
      </c>
      <c r="AK29" s="4">
        <v>218</v>
      </c>
      <c r="AL29" s="4">
        <v>221</v>
      </c>
      <c r="AM29" s="4">
        <v>221</v>
      </c>
      <c r="AN29" s="4">
        <v>221</v>
      </c>
      <c r="AO29" s="4">
        <v>221</v>
      </c>
      <c r="AP29" s="4">
        <v>221</v>
      </c>
      <c r="AQ29" s="4">
        <v>221</v>
      </c>
      <c r="AR29" s="4">
        <v>221</v>
      </c>
      <c r="AS29" s="4">
        <v>221</v>
      </c>
      <c r="AT29" s="4">
        <v>221</v>
      </c>
      <c r="AU29" s="4">
        <v>221</v>
      </c>
      <c r="AV29" s="4">
        <v>221</v>
      </c>
      <c r="AW29" s="4">
        <v>221</v>
      </c>
      <c r="AX29" s="4">
        <v>225</v>
      </c>
    </row>
    <row r="30" spans="1:50" x14ac:dyDescent="0.25">
      <c r="A30" s="4">
        <v>79</v>
      </c>
      <c r="B30" s="4">
        <v>168</v>
      </c>
      <c r="C30" s="4">
        <v>229</v>
      </c>
      <c r="D30" s="4">
        <v>229</v>
      </c>
      <c r="E30" s="4">
        <v>229</v>
      </c>
      <c r="F30" s="4">
        <v>229</v>
      </c>
      <c r="G30" s="4">
        <v>235</v>
      </c>
      <c r="H30" s="4">
        <v>235</v>
      </c>
      <c r="I30" s="4">
        <v>235</v>
      </c>
      <c r="J30" s="4">
        <v>235</v>
      </c>
      <c r="K30" s="4">
        <v>235</v>
      </c>
      <c r="L30" s="4">
        <v>235</v>
      </c>
      <c r="M30" s="4">
        <v>235</v>
      </c>
      <c r="N30" s="4">
        <v>241</v>
      </c>
      <c r="O30" s="4">
        <v>241</v>
      </c>
      <c r="P30" s="4">
        <v>241</v>
      </c>
      <c r="Q30" s="4">
        <v>241</v>
      </c>
      <c r="R30" s="4">
        <v>241</v>
      </c>
      <c r="S30" s="4">
        <v>241</v>
      </c>
      <c r="T30" s="4">
        <v>241</v>
      </c>
      <c r="U30" s="4">
        <v>241</v>
      </c>
      <c r="V30" s="4">
        <v>241</v>
      </c>
      <c r="W30" s="4">
        <v>241</v>
      </c>
      <c r="X30" s="4">
        <v>241</v>
      </c>
      <c r="Y30" s="4">
        <v>241</v>
      </c>
      <c r="Z30" s="4">
        <v>244</v>
      </c>
      <c r="AA30" s="4">
        <v>221</v>
      </c>
      <c r="AB30" s="4">
        <v>221</v>
      </c>
      <c r="AC30" s="4">
        <v>221</v>
      </c>
      <c r="AD30" s="4">
        <v>221</v>
      </c>
      <c r="AE30" s="4">
        <v>224</v>
      </c>
      <c r="AF30" s="4">
        <v>224</v>
      </c>
      <c r="AG30" s="4">
        <v>224</v>
      </c>
      <c r="AH30" s="4">
        <v>224</v>
      </c>
      <c r="AI30" s="4">
        <v>224</v>
      </c>
      <c r="AJ30" s="4">
        <v>224</v>
      </c>
      <c r="AK30" s="4">
        <v>224</v>
      </c>
      <c r="AL30" s="4">
        <v>227</v>
      </c>
      <c r="AM30" s="4">
        <v>227</v>
      </c>
      <c r="AN30" s="4">
        <v>227</v>
      </c>
      <c r="AO30" s="4">
        <v>227</v>
      </c>
      <c r="AP30" s="4">
        <v>227</v>
      </c>
      <c r="AQ30" s="4">
        <v>227</v>
      </c>
      <c r="AR30" s="4">
        <v>227</v>
      </c>
      <c r="AS30" s="4">
        <v>227</v>
      </c>
      <c r="AT30" s="4">
        <v>227</v>
      </c>
      <c r="AU30" s="4">
        <v>227</v>
      </c>
      <c r="AV30" s="4">
        <v>227</v>
      </c>
      <c r="AW30" s="4">
        <v>227</v>
      </c>
      <c r="AX30" s="4">
        <v>230</v>
      </c>
    </row>
    <row r="31" spans="1:50" x14ac:dyDescent="0.25">
      <c r="A31" s="4">
        <v>80</v>
      </c>
      <c r="B31" s="4">
        <v>173</v>
      </c>
      <c r="C31" s="4">
        <v>234</v>
      </c>
      <c r="D31" s="4">
        <v>234</v>
      </c>
      <c r="E31" s="4">
        <v>234</v>
      </c>
      <c r="F31" s="4">
        <v>234</v>
      </c>
      <c r="G31" s="4">
        <v>240</v>
      </c>
      <c r="H31" s="4">
        <v>240</v>
      </c>
      <c r="I31" s="4">
        <v>240</v>
      </c>
      <c r="J31" s="4">
        <v>240</v>
      </c>
      <c r="K31" s="4">
        <v>240</v>
      </c>
      <c r="L31" s="4">
        <v>240</v>
      </c>
      <c r="M31" s="4">
        <v>240</v>
      </c>
      <c r="N31" s="4">
        <v>247</v>
      </c>
      <c r="O31" s="4">
        <v>247</v>
      </c>
      <c r="P31" s="4">
        <v>247</v>
      </c>
      <c r="Q31" s="4">
        <v>247</v>
      </c>
      <c r="R31" s="4">
        <v>247</v>
      </c>
      <c r="S31" s="4">
        <v>247</v>
      </c>
      <c r="T31" s="4">
        <v>247</v>
      </c>
      <c r="U31" s="4">
        <v>247</v>
      </c>
      <c r="V31" s="4">
        <v>247</v>
      </c>
      <c r="W31" s="4">
        <v>247</v>
      </c>
      <c r="X31" s="4">
        <v>247</v>
      </c>
      <c r="Y31" s="4">
        <v>247</v>
      </c>
      <c r="Z31" s="4">
        <v>250</v>
      </c>
      <c r="AA31" s="4">
        <v>227</v>
      </c>
      <c r="AB31" s="4">
        <v>227</v>
      </c>
      <c r="AC31" s="4">
        <v>227</v>
      </c>
      <c r="AD31" s="4">
        <v>227</v>
      </c>
      <c r="AE31" s="4">
        <v>230</v>
      </c>
      <c r="AF31" s="4">
        <v>230</v>
      </c>
      <c r="AG31" s="4">
        <v>230</v>
      </c>
      <c r="AH31" s="4">
        <v>230</v>
      </c>
      <c r="AI31" s="4">
        <v>230</v>
      </c>
      <c r="AJ31" s="4">
        <v>230</v>
      </c>
      <c r="AK31" s="4">
        <v>230</v>
      </c>
      <c r="AL31" s="4">
        <v>233</v>
      </c>
      <c r="AM31" s="4">
        <v>233</v>
      </c>
      <c r="AN31" s="4">
        <v>233</v>
      </c>
      <c r="AO31" s="4">
        <v>233</v>
      </c>
      <c r="AP31" s="4">
        <v>233</v>
      </c>
      <c r="AQ31" s="4">
        <v>233</v>
      </c>
      <c r="AR31" s="4">
        <v>233</v>
      </c>
      <c r="AS31" s="4">
        <v>233</v>
      </c>
      <c r="AT31" s="4">
        <v>233</v>
      </c>
      <c r="AU31" s="4">
        <v>233</v>
      </c>
      <c r="AV31" s="4">
        <v>233</v>
      </c>
      <c r="AW31" s="4">
        <v>233</v>
      </c>
      <c r="AX31" s="4">
        <v>236</v>
      </c>
    </row>
    <row r="32" spans="1:50" x14ac:dyDescent="0.25"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</row>
    <row r="33" spans="3:49" x14ac:dyDescent="0.25"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</row>
    <row r="34" spans="3:49" x14ac:dyDescent="0.25"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</row>
    <row r="35" spans="3:49" x14ac:dyDescent="0.25"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</row>
    <row r="36" spans="3:49" x14ac:dyDescent="0.25"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</row>
    <row r="37" spans="3:49" x14ac:dyDescent="0.25"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</row>
    <row r="38" spans="3:49" x14ac:dyDescent="0.25"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</row>
    <row r="39" spans="3:49" x14ac:dyDescent="0.25"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</row>
    <row r="40" spans="3:49" x14ac:dyDescent="0.25"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</row>
    <row r="41" spans="3:49" x14ac:dyDescent="0.25"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</row>
    <row r="42" spans="3:49" x14ac:dyDescent="0.25"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</row>
    <row r="43" spans="3:49" x14ac:dyDescent="0.25"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</row>
    <row r="44" spans="3:49" x14ac:dyDescent="0.25"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</row>
    <row r="45" spans="3:49" x14ac:dyDescent="0.25"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</row>
    <row r="46" spans="3:49" x14ac:dyDescent="0.25"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</row>
    <row r="47" spans="3:49" x14ac:dyDescent="0.25"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</row>
    <row r="48" spans="3:49" x14ac:dyDescent="0.25"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</row>
    <row r="49" spans="3:49" x14ac:dyDescent="0.25"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</row>
    <row r="50" spans="3:49" x14ac:dyDescent="0.25"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</row>
    <row r="51" spans="3:49" x14ac:dyDescent="0.25"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</row>
  </sheetData>
  <mergeCells count="124">
    <mergeCell ref="C51:F51"/>
    <mergeCell ref="G51:M51"/>
    <mergeCell ref="N51:Y51"/>
    <mergeCell ref="AA51:AD51"/>
    <mergeCell ref="AE51:AK51"/>
    <mergeCell ref="AL51:AW51"/>
    <mergeCell ref="C50:F50"/>
    <mergeCell ref="G50:M50"/>
    <mergeCell ref="N50:Y50"/>
    <mergeCell ref="AA50:AD50"/>
    <mergeCell ref="AE50:AK50"/>
    <mergeCell ref="AL50:AW50"/>
    <mergeCell ref="C49:F49"/>
    <mergeCell ref="G49:M49"/>
    <mergeCell ref="N49:Y49"/>
    <mergeCell ref="AA49:AD49"/>
    <mergeCell ref="AE49:AK49"/>
    <mergeCell ref="AL49:AW49"/>
    <mergeCell ref="C48:F48"/>
    <mergeCell ref="G48:M48"/>
    <mergeCell ref="N48:Y48"/>
    <mergeCell ref="AA48:AD48"/>
    <mergeCell ref="AE48:AK48"/>
    <mergeCell ref="AL48:AW48"/>
    <mergeCell ref="C47:F47"/>
    <mergeCell ref="G47:M47"/>
    <mergeCell ref="N47:Y47"/>
    <mergeCell ref="AA47:AD47"/>
    <mergeCell ref="AE47:AK47"/>
    <mergeCell ref="AL47:AW47"/>
    <mergeCell ref="C46:F46"/>
    <mergeCell ref="G46:M46"/>
    <mergeCell ref="N46:Y46"/>
    <mergeCell ref="AA46:AD46"/>
    <mergeCell ref="AE46:AK46"/>
    <mergeCell ref="AL46:AW46"/>
    <mergeCell ref="C45:F45"/>
    <mergeCell ref="G45:M45"/>
    <mergeCell ref="N45:Y45"/>
    <mergeCell ref="AA45:AD45"/>
    <mergeCell ref="AE45:AK45"/>
    <mergeCell ref="AL45:AW45"/>
    <mergeCell ref="C44:F44"/>
    <mergeCell ref="G44:M44"/>
    <mergeCell ref="N44:Y44"/>
    <mergeCell ref="AA44:AD44"/>
    <mergeCell ref="AE44:AK44"/>
    <mergeCell ref="AL44:AW44"/>
    <mergeCell ref="C43:F43"/>
    <mergeCell ref="G43:M43"/>
    <mergeCell ref="N43:Y43"/>
    <mergeCell ref="AA43:AD43"/>
    <mergeCell ref="AE43:AK43"/>
    <mergeCell ref="AL43:AW43"/>
    <mergeCell ref="C42:F42"/>
    <mergeCell ref="G42:M42"/>
    <mergeCell ref="N42:Y42"/>
    <mergeCell ref="AA42:AD42"/>
    <mergeCell ref="AE42:AK42"/>
    <mergeCell ref="AL42:AW42"/>
    <mergeCell ref="C41:F41"/>
    <mergeCell ref="G41:M41"/>
    <mergeCell ref="N41:Y41"/>
    <mergeCell ref="AA41:AD41"/>
    <mergeCell ref="AE41:AK41"/>
    <mergeCell ref="AL41:AW41"/>
    <mergeCell ref="C40:F40"/>
    <mergeCell ref="G40:M40"/>
    <mergeCell ref="N40:Y40"/>
    <mergeCell ref="AA40:AD40"/>
    <mergeCell ref="AE40:AK40"/>
    <mergeCell ref="AL40:AW40"/>
    <mergeCell ref="C39:F39"/>
    <mergeCell ref="G39:M39"/>
    <mergeCell ref="N39:Y39"/>
    <mergeCell ref="AA39:AD39"/>
    <mergeCell ref="AE39:AK39"/>
    <mergeCell ref="AL39:AW39"/>
    <mergeCell ref="C38:F38"/>
    <mergeCell ref="G38:M38"/>
    <mergeCell ref="N38:Y38"/>
    <mergeCell ref="AA38:AD38"/>
    <mergeCell ref="AE38:AK38"/>
    <mergeCell ref="AL38:AW38"/>
    <mergeCell ref="C37:F37"/>
    <mergeCell ref="G37:M37"/>
    <mergeCell ref="N37:Y37"/>
    <mergeCell ref="AA37:AD37"/>
    <mergeCell ref="AE37:AK37"/>
    <mergeCell ref="AL37:AW37"/>
    <mergeCell ref="C36:F36"/>
    <mergeCell ref="G36:M36"/>
    <mergeCell ref="N36:Y36"/>
    <mergeCell ref="AA36:AD36"/>
    <mergeCell ref="AE36:AK36"/>
    <mergeCell ref="AL36:AW36"/>
    <mergeCell ref="C35:F35"/>
    <mergeCell ref="G35:M35"/>
    <mergeCell ref="N35:Y35"/>
    <mergeCell ref="AA35:AD35"/>
    <mergeCell ref="AE35:AK35"/>
    <mergeCell ref="AL35:AW35"/>
    <mergeCell ref="C34:F34"/>
    <mergeCell ref="G34:M34"/>
    <mergeCell ref="N34:Y34"/>
    <mergeCell ref="AA34:AD34"/>
    <mergeCell ref="AE34:AK34"/>
    <mergeCell ref="AL34:AW34"/>
    <mergeCell ref="C33:F33"/>
    <mergeCell ref="G33:M33"/>
    <mergeCell ref="N33:Y33"/>
    <mergeCell ref="AA33:AD33"/>
    <mergeCell ref="AE33:AK33"/>
    <mergeCell ref="AL33:AW33"/>
    <mergeCell ref="A5:AX5"/>
    <mergeCell ref="A6:AX6"/>
    <mergeCell ref="C7:Z7"/>
    <mergeCell ref="AA7:AX7"/>
    <mergeCell ref="C32:F32"/>
    <mergeCell ref="G32:M32"/>
    <mergeCell ref="N32:Y32"/>
    <mergeCell ref="AA32:AD32"/>
    <mergeCell ref="AE32:AK32"/>
    <mergeCell ref="AL32:AW3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CBADA-9BC8-470B-938D-17CA53C21E4B}">
  <sheetPr codeName="Sheet3"/>
  <dimension ref="A1:AX51"/>
  <sheetViews>
    <sheetView topLeftCell="A5" zoomScale="130" zoomScaleNormal="130" workbookViewId="0">
      <selection activeCell="Z14" sqref="Z14"/>
    </sheetView>
  </sheetViews>
  <sheetFormatPr defaultRowHeight="15" x14ac:dyDescent="0.25"/>
  <cols>
    <col min="3" max="3" width="9.140625" customWidth="1"/>
    <col min="4" max="5" width="6.140625" hidden="1" customWidth="1"/>
    <col min="6" max="6" width="11.28515625" hidden="1" customWidth="1"/>
    <col min="7" max="7" width="9.140625" customWidth="1"/>
    <col min="8" max="13" width="6.140625" hidden="1" customWidth="1"/>
    <col min="14" max="14" width="9.140625" customWidth="1"/>
    <col min="15" max="24" width="6.140625" hidden="1" customWidth="1"/>
    <col min="25" max="25" width="3.7109375" hidden="1" customWidth="1"/>
    <col min="26" max="27" width="9.140625" customWidth="1"/>
    <col min="28" max="30" width="4.28515625" hidden="1" customWidth="1"/>
    <col min="31" max="31" width="9.140625" customWidth="1"/>
    <col min="32" max="37" width="4.28515625" hidden="1" customWidth="1"/>
    <col min="38" max="38" width="9.140625" customWidth="1"/>
    <col min="39" max="49" width="4.28515625" hidden="1" customWidth="1"/>
    <col min="50" max="50" width="9.140625" customWidth="1"/>
  </cols>
  <sheetData>
    <row r="1" spans="1:50" hidden="1" x14ac:dyDescent="0.25"/>
    <row r="2" spans="1:50" hidden="1" x14ac:dyDescent="0.25"/>
    <row r="3" spans="1:50" hidden="1" x14ac:dyDescent="0.25"/>
    <row r="4" spans="1:50" hidden="1" x14ac:dyDescent="0.25">
      <c r="C4">
        <v>17</v>
      </c>
      <c r="D4">
        <v>18</v>
      </c>
      <c r="E4">
        <v>19</v>
      </c>
      <c r="F4">
        <v>20</v>
      </c>
      <c r="G4">
        <v>21</v>
      </c>
      <c r="H4">
        <v>22</v>
      </c>
      <c r="I4">
        <v>23</v>
      </c>
      <c r="J4">
        <v>24</v>
      </c>
      <c r="K4">
        <v>25</v>
      </c>
      <c r="L4">
        <v>26</v>
      </c>
      <c r="M4">
        <v>27</v>
      </c>
      <c r="N4">
        <v>28</v>
      </c>
      <c r="O4">
        <v>29</v>
      </c>
      <c r="P4">
        <v>30</v>
      </c>
      <c r="Q4">
        <v>31</v>
      </c>
      <c r="R4">
        <v>32</v>
      </c>
      <c r="S4">
        <v>33</v>
      </c>
      <c r="T4">
        <v>34</v>
      </c>
      <c r="U4">
        <v>35</v>
      </c>
      <c r="V4">
        <v>36</v>
      </c>
      <c r="W4">
        <v>37</v>
      </c>
      <c r="X4">
        <v>38</v>
      </c>
      <c r="Y4">
        <v>39</v>
      </c>
      <c r="Z4">
        <v>40</v>
      </c>
      <c r="AA4">
        <v>17</v>
      </c>
      <c r="AB4">
        <v>18</v>
      </c>
      <c r="AC4">
        <v>19</v>
      </c>
      <c r="AD4">
        <v>20</v>
      </c>
      <c r="AE4">
        <v>21</v>
      </c>
      <c r="AF4">
        <v>22</v>
      </c>
      <c r="AG4">
        <v>23</v>
      </c>
      <c r="AH4">
        <v>24</v>
      </c>
      <c r="AI4">
        <v>25</v>
      </c>
      <c r="AJ4">
        <v>26</v>
      </c>
      <c r="AK4">
        <v>27</v>
      </c>
      <c r="AL4">
        <v>28</v>
      </c>
      <c r="AM4">
        <v>29</v>
      </c>
      <c r="AN4">
        <v>30</v>
      </c>
      <c r="AO4">
        <v>31</v>
      </c>
      <c r="AP4">
        <v>32</v>
      </c>
      <c r="AQ4">
        <v>33</v>
      </c>
      <c r="AR4">
        <v>34</v>
      </c>
      <c r="AS4">
        <v>35</v>
      </c>
      <c r="AT4">
        <v>36</v>
      </c>
      <c r="AU4">
        <v>37</v>
      </c>
      <c r="AV4">
        <v>38</v>
      </c>
      <c r="AW4">
        <v>39</v>
      </c>
      <c r="AX4">
        <v>40</v>
      </c>
    </row>
    <row r="5" spans="1:50" x14ac:dyDescent="0.25">
      <c r="A5" s="21" t="s">
        <v>0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3"/>
    </row>
    <row r="6" spans="1:50" x14ac:dyDescent="0.25">
      <c r="A6" s="21" t="s">
        <v>1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3"/>
    </row>
    <row r="7" spans="1:50" x14ac:dyDescent="0.25">
      <c r="A7" s="1"/>
      <c r="B7" s="1"/>
      <c r="C7" s="21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3"/>
      <c r="AA7" s="21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3"/>
    </row>
    <row r="8" spans="1:50" ht="60" x14ac:dyDescent="0.25">
      <c r="A8" s="2" t="s">
        <v>4</v>
      </c>
      <c r="B8" s="2" t="s">
        <v>5</v>
      </c>
      <c r="C8" s="3" t="s">
        <v>6</v>
      </c>
      <c r="D8" s="3" t="s">
        <v>6</v>
      </c>
      <c r="E8" s="3" t="s">
        <v>6</v>
      </c>
      <c r="F8" s="3" t="s">
        <v>6</v>
      </c>
      <c r="G8" s="3" t="s">
        <v>7</v>
      </c>
      <c r="H8" s="3" t="s">
        <v>7</v>
      </c>
      <c r="I8" s="3" t="s">
        <v>7</v>
      </c>
      <c r="J8" s="3" t="s">
        <v>7</v>
      </c>
      <c r="K8" s="3" t="s">
        <v>7</v>
      </c>
      <c r="L8" s="3" t="s">
        <v>7</v>
      </c>
      <c r="M8" s="3" t="s">
        <v>7</v>
      </c>
      <c r="N8" s="3" t="s">
        <v>8</v>
      </c>
      <c r="O8" s="3" t="s">
        <v>8</v>
      </c>
      <c r="P8" s="3" t="s">
        <v>8</v>
      </c>
      <c r="Q8" s="3" t="s">
        <v>8</v>
      </c>
      <c r="R8" s="3" t="s">
        <v>8</v>
      </c>
      <c r="S8" s="3" t="s">
        <v>8</v>
      </c>
      <c r="T8" s="3" t="s">
        <v>8</v>
      </c>
      <c r="U8" s="3" t="s">
        <v>8</v>
      </c>
      <c r="V8" s="3" t="s">
        <v>8</v>
      </c>
      <c r="W8" s="3" t="s">
        <v>8</v>
      </c>
      <c r="X8" s="3" t="s">
        <v>8</v>
      </c>
      <c r="Y8" s="3" t="s">
        <v>8</v>
      </c>
      <c r="Z8" s="3">
        <v>40</v>
      </c>
      <c r="AA8" s="3" t="s">
        <v>6</v>
      </c>
      <c r="AB8" s="3"/>
      <c r="AC8" s="3"/>
      <c r="AD8" s="3"/>
      <c r="AE8" s="3" t="s">
        <v>7</v>
      </c>
      <c r="AF8" s="3"/>
      <c r="AG8" s="3"/>
      <c r="AH8" s="3"/>
      <c r="AI8" s="3"/>
      <c r="AJ8" s="3"/>
      <c r="AK8" s="3"/>
      <c r="AL8" s="3" t="s">
        <v>8</v>
      </c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>
        <v>40</v>
      </c>
    </row>
    <row r="9" spans="1:50" x14ac:dyDescent="0.25">
      <c r="A9" s="4">
        <v>58</v>
      </c>
      <c r="B9" s="4">
        <v>91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  <c r="H9" s="4" t="s">
        <v>10</v>
      </c>
      <c r="I9" s="4" t="s">
        <v>10</v>
      </c>
      <c r="J9" s="4" t="s">
        <v>10</v>
      </c>
      <c r="K9" s="4" t="s">
        <v>10</v>
      </c>
      <c r="L9" s="4" t="s">
        <v>10</v>
      </c>
      <c r="M9" s="4" t="s">
        <v>10</v>
      </c>
      <c r="N9" s="4" t="s">
        <v>10</v>
      </c>
      <c r="O9" s="4" t="s">
        <v>10</v>
      </c>
      <c r="P9" s="4" t="s">
        <v>10</v>
      </c>
      <c r="Q9" s="4" t="s">
        <v>10</v>
      </c>
      <c r="R9" s="4" t="s">
        <v>10</v>
      </c>
      <c r="S9" s="4" t="s">
        <v>10</v>
      </c>
      <c r="T9" s="4" t="s">
        <v>10</v>
      </c>
      <c r="U9" s="4" t="s">
        <v>10</v>
      </c>
      <c r="V9" s="4" t="s">
        <v>10</v>
      </c>
      <c r="W9" s="4" t="s">
        <v>10</v>
      </c>
      <c r="X9" s="4" t="s">
        <v>10</v>
      </c>
      <c r="Y9" s="4" t="s">
        <v>10</v>
      </c>
      <c r="Z9" s="4" t="s">
        <v>10</v>
      </c>
      <c r="AA9" s="4">
        <v>119</v>
      </c>
      <c r="AB9" s="4">
        <v>119</v>
      </c>
      <c r="AC9" s="4">
        <v>119</v>
      </c>
      <c r="AD9" s="4">
        <v>119</v>
      </c>
      <c r="AE9" s="4">
        <v>121</v>
      </c>
      <c r="AF9" s="4">
        <v>121</v>
      </c>
      <c r="AG9" s="4">
        <v>121</v>
      </c>
      <c r="AH9" s="4">
        <v>121</v>
      </c>
      <c r="AI9" s="4">
        <v>121</v>
      </c>
      <c r="AJ9" s="4">
        <v>121</v>
      </c>
      <c r="AK9" s="4">
        <v>121</v>
      </c>
      <c r="AL9" s="4">
        <v>122</v>
      </c>
      <c r="AM9" s="4">
        <v>122</v>
      </c>
      <c r="AN9" s="4">
        <v>122</v>
      </c>
      <c r="AO9" s="4">
        <v>122</v>
      </c>
      <c r="AP9" s="4">
        <v>122</v>
      </c>
      <c r="AQ9" s="4">
        <v>122</v>
      </c>
      <c r="AR9" s="4">
        <v>122</v>
      </c>
      <c r="AS9" s="4">
        <v>122</v>
      </c>
      <c r="AT9" s="4">
        <v>122</v>
      </c>
      <c r="AU9" s="4">
        <v>122</v>
      </c>
      <c r="AV9" s="4">
        <v>122</v>
      </c>
      <c r="AW9" s="4">
        <v>122</v>
      </c>
      <c r="AX9" s="4">
        <v>124</v>
      </c>
    </row>
    <row r="10" spans="1:50" x14ac:dyDescent="0.25">
      <c r="A10" s="4">
        <v>59</v>
      </c>
      <c r="B10" s="4">
        <v>94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  <c r="H10" s="4" t="s">
        <v>10</v>
      </c>
      <c r="I10" s="4" t="s">
        <v>10</v>
      </c>
      <c r="J10" s="4" t="s">
        <v>10</v>
      </c>
      <c r="K10" s="4" t="s">
        <v>10</v>
      </c>
      <c r="L10" s="4" t="s">
        <v>10</v>
      </c>
      <c r="M10" s="4" t="s">
        <v>10</v>
      </c>
      <c r="N10" s="4" t="s">
        <v>10</v>
      </c>
      <c r="O10" s="4" t="s">
        <v>10</v>
      </c>
      <c r="P10" s="4" t="s">
        <v>10</v>
      </c>
      <c r="Q10" s="4" t="s">
        <v>10</v>
      </c>
      <c r="R10" s="4" t="s">
        <v>10</v>
      </c>
      <c r="S10" s="4" t="s">
        <v>10</v>
      </c>
      <c r="T10" s="4" t="s">
        <v>10</v>
      </c>
      <c r="U10" s="4" t="s">
        <v>10</v>
      </c>
      <c r="V10" s="4" t="s">
        <v>10</v>
      </c>
      <c r="W10" s="4" t="s">
        <v>10</v>
      </c>
      <c r="X10" s="4" t="s">
        <v>10</v>
      </c>
      <c r="Y10" s="4" t="s">
        <v>10</v>
      </c>
      <c r="Z10" s="4" t="s">
        <v>10</v>
      </c>
      <c r="AA10" s="4">
        <v>124</v>
      </c>
      <c r="AB10" s="4">
        <v>124</v>
      </c>
      <c r="AC10" s="4">
        <v>124</v>
      </c>
      <c r="AD10" s="4">
        <v>124</v>
      </c>
      <c r="AE10" s="4">
        <v>125</v>
      </c>
      <c r="AF10" s="4">
        <v>125</v>
      </c>
      <c r="AG10" s="4">
        <v>125</v>
      </c>
      <c r="AH10" s="4">
        <v>125</v>
      </c>
      <c r="AI10" s="4">
        <v>125</v>
      </c>
      <c r="AJ10" s="4">
        <v>125</v>
      </c>
      <c r="AK10" s="4">
        <v>125</v>
      </c>
      <c r="AL10" s="4">
        <v>126</v>
      </c>
      <c r="AM10" s="4">
        <v>126</v>
      </c>
      <c r="AN10" s="4">
        <v>126</v>
      </c>
      <c r="AO10" s="4">
        <v>126</v>
      </c>
      <c r="AP10" s="4">
        <v>126</v>
      </c>
      <c r="AQ10" s="4">
        <v>126</v>
      </c>
      <c r="AR10" s="4">
        <v>126</v>
      </c>
      <c r="AS10" s="4">
        <v>126</v>
      </c>
      <c r="AT10" s="4">
        <v>126</v>
      </c>
      <c r="AU10" s="4">
        <v>126</v>
      </c>
      <c r="AV10" s="4">
        <v>126</v>
      </c>
      <c r="AW10" s="4">
        <v>126</v>
      </c>
      <c r="AX10" s="4">
        <v>128</v>
      </c>
    </row>
    <row r="11" spans="1:50" x14ac:dyDescent="0.25">
      <c r="A11" s="4">
        <v>60</v>
      </c>
      <c r="B11" s="4">
        <v>97</v>
      </c>
      <c r="C11" s="4">
        <v>132</v>
      </c>
      <c r="D11" s="4">
        <v>132</v>
      </c>
      <c r="E11" s="4">
        <v>132</v>
      </c>
      <c r="F11" s="4">
        <v>132</v>
      </c>
      <c r="G11" s="4">
        <v>136</v>
      </c>
      <c r="H11" s="4">
        <v>136</v>
      </c>
      <c r="I11" s="4">
        <v>136</v>
      </c>
      <c r="J11" s="4">
        <v>136</v>
      </c>
      <c r="K11" s="4">
        <v>136</v>
      </c>
      <c r="L11" s="4">
        <v>136</v>
      </c>
      <c r="M11" s="4">
        <v>136</v>
      </c>
      <c r="N11" s="4">
        <v>139</v>
      </c>
      <c r="O11" s="4">
        <v>139</v>
      </c>
      <c r="P11" s="4">
        <v>139</v>
      </c>
      <c r="Q11" s="4">
        <v>139</v>
      </c>
      <c r="R11" s="4">
        <v>139</v>
      </c>
      <c r="S11" s="4">
        <v>139</v>
      </c>
      <c r="T11" s="4">
        <v>139</v>
      </c>
      <c r="U11" s="4">
        <v>139</v>
      </c>
      <c r="V11" s="4">
        <v>139</v>
      </c>
      <c r="W11" s="4">
        <v>139</v>
      </c>
      <c r="X11" s="4">
        <v>139</v>
      </c>
      <c r="Y11" s="4">
        <v>139</v>
      </c>
      <c r="Z11" s="4">
        <v>141</v>
      </c>
      <c r="AA11" s="4">
        <v>128</v>
      </c>
      <c r="AB11" s="4">
        <v>128</v>
      </c>
      <c r="AC11" s="4">
        <v>128</v>
      </c>
      <c r="AD11" s="4">
        <v>128</v>
      </c>
      <c r="AE11" s="4">
        <v>129</v>
      </c>
      <c r="AF11" s="4">
        <v>129</v>
      </c>
      <c r="AG11" s="4">
        <v>129</v>
      </c>
      <c r="AH11" s="4">
        <v>129</v>
      </c>
      <c r="AI11" s="4">
        <v>129</v>
      </c>
      <c r="AJ11" s="4">
        <v>129</v>
      </c>
      <c r="AK11" s="4">
        <v>129</v>
      </c>
      <c r="AL11" s="4">
        <v>131</v>
      </c>
      <c r="AM11" s="4">
        <v>131</v>
      </c>
      <c r="AN11" s="4">
        <v>131</v>
      </c>
      <c r="AO11" s="4">
        <v>131</v>
      </c>
      <c r="AP11" s="4">
        <v>131</v>
      </c>
      <c r="AQ11" s="4">
        <v>131</v>
      </c>
      <c r="AR11" s="4">
        <v>131</v>
      </c>
      <c r="AS11" s="4">
        <v>131</v>
      </c>
      <c r="AT11" s="4">
        <v>131</v>
      </c>
      <c r="AU11" s="4">
        <v>131</v>
      </c>
      <c r="AV11" s="4">
        <v>131</v>
      </c>
      <c r="AW11" s="4">
        <v>131</v>
      </c>
      <c r="AX11" s="4">
        <v>133</v>
      </c>
    </row>
    <row r="12" spans="1:50" x14ac:dyDescent="0.25">
      <c r="A12" s="4">
        <v>61</v>
      </c>
      <c r="B12" s="4">
        <v>100</v>
      </c>
      <c r="C12" s="4">
        <v>136</v>
      </c>
      <c r="D12" s="4">
        <v>136</v>
      </c>
      <c r="E12" s="4">
        <v>136</v>
      </c>
      <c r="F12" s="4">
        <v>136</v>
      </c>
      <c r="G12" s="4">
        <v>140</v>
      </c>
      <c r="H12" s="4">
        <v>140</v>
      </c>
      <c r="I12" s="4">
        <v>140</v>
      </c>
      <c r="J12" s="4">
        <v>140</v>
      </c>
      <c r="K12" s="4">
        <v>140</v>
      </c>
      <c r="L12" s="4">
        <v>140</v>
      </c>
      <c r="M12" s="4">
        <v>140</v>
      </c>
      <c r="N12" s="4">
        <v>144</v>
      </c>
      <c r="O12" s="4">
        <v>144</v>
      </c>
      <c r="P12" s="4">
        <v>144</v>
      </c>
      <c r="Q12" s="4">
        <v>144</v>
      </c>
      <c r="R12" s="4">
        <v>144</v>
      </c>
      <c r="S12" s="4">
        <v>144</v>
      </c>
      <c r="T12" s="4">
        <v>144</v>
      </c>
      <c r="U12" s="4">
        <v>144</v>
      </c>
      <c r="V12" s="4">
        <v>144</v>
      </c>
      <c r="W12" s="4">
        <v>144</v>
      </c>
      <c r="X12" s="4">
        <v>144</v>
      </c>
      <c r="Y12" s="4">
        <v>144</v>
      </c>
      <c r="Z12" s="4">
        <v>146</v>
      </c>
      <c r="AA12" s="4">
        <v>132</v>
      </c>
      <c r="AB12" s="4">
        <v>132</v>
      </c>
      <c r="AC12" s="4">
        <v>132</v>
      </c>
      <c r="AD12" s="4">
        <v>132</v>
      </c>
      <c r="AE12" s="4">
        <v>134</v>
      </c>
      <c r="AF12" s="4">
        <v>134</v>
      </c>
      <c r="AG12" s="4">
        <v>134</v>
      </c>
      <c r="AH12" s="4">
        <v>134</v>
      </c>
      <c r="AI12" s="4">
        <v>134</v>
      </c>
      <c r="AJ12" s="4">
        <v>134</v>
      </c>
      <c r="AK12" s="4">
        <v>134</v>
      </c>
      <c r="AL12" s="4">
        <v>135</v>
      </c>
      <c r="AM12" s="4">
        <v>135</v>
      </c>
      <c r="AN12" s="4">
        <v>135</v>
      </c>
      <c r="AO12" s="4">
        <v>135</v>
      </c>
      <c r="AP12" s="4">
        <v>135</v>
      </c>
      <c r="AQ12" s="4">
        <v>135</v>
      </c>
      <c r="AR12" s="4">
        <v>135</v>
      </c>
      <c r="AS12" s="4">
        <v>135</v>
      </c>
      <c r="AT12" s="4">
        <v>135</v>
      </c>
      <c r="AU12" s="4">
        <v>135</v>
      </c>
      <c r="AV12" s="4">
        <v>135</v>
      </c>
      <c r="AW12" s="4">
        <v>135</v>
      </c>
      <c r="AX12" s="4">
        <v>137</v>
      </c>
    </row>
    <row r="13" spans="1:50" x14ac:dyDescent="0.25">
      <c r="A13" s="4">
        <v>62</v>
      </c>
      <c r="B13" s="4">
        <v>104</v>
      </c>
      <c r="C13" s="4">
        <v>141</v>
      </c>
      <c r="D13" s="4">
        <v>141</v>
      </c>
      <c r="E13" s="4">
        <v>141</v>
      </c>
      <c r="F13" s="4">
        <v>141</v>
      </c>
      <c r="G13" s="4">
        <v>144</v>
      </c>
      <c r="H13" s="4">
        <v>144</v>
      </c>
      <c r="I13" s="4">
        <v>144</v>
      </c>
      <c r="J13" s="4">
        <v>144</v>
      </c>
      <c r="K13" s="4">
        <v>144</v>
      </c>
      <c r="L13" s="4">
        <v>144</v>
      </c>
      <c r="M13" s="4">
        <v>144</v>
      </c>
      <c r="N13" s="4">
        <v>148</v>
      </c>
      <c r="O13" s="4">
        <v>148</v>
      </c>
      <c r="P13" s="4">
        <v>148</v>
      </c>
      <c r="Q13" s="4">
        <v>148</v>
      </c>
      <c r="R13" s="4">
        <v>148</v>
      </c>
      <c r="S13" s="4">
        <v>148</v>
      </c>
      <c r="T13" s="4">
        <v>148</v>
      </c>
      <c r="U13" s="4">
        <v>148</v>
      </c>
      <c r="V13" s="4">
        <v>148</v>
      </c>
      <c r="W13" s="4">
        <v>148</v>
      </c>
      <c r="X13" s="4">
        <v>148</v>
      </c>
      <c r="Y13" s="4">
        <v>148</v>
      </c>
      <c r="Z13" s="4">
        <v>150</v>
      </c>
      <c r="AA13" s="4">
        <v>136</v>
      </c>
      <c r="AB13" s="4">
        <v>136</v>
      </c>
      <c r="AC13" s="4">
        <v>136</v>
      </c>
      <c r="AD13" s="4">
        <v>136</v>
      </c>
      <c r="AE13" s="4">
        <v>138</v>
      </c>
      <c r="AF13" s="4">
        <v>138</v>
      </c>
      <c r="AG13" s="4">
        <v>138</v>
      </c>
      <c r="AH13" s="4">
        <v>138</v>
      </c>
      <c r="AI13" s="4">
        <v>138</v>
      </c>
      <c r="AJ13" s="4">
        <v>138</v>
      </c>
      <c r="AK13" s="4">
        <v>138</v>
      </c>
      <c r="AL13" s="4">
        <v>140</v>
      </c>
      <c r="AM13" s="4">
        <v>140</v>
      </c>
      <c r="AN13" s="4">
        <v>140</v>
      </c>
      <c r="AO13" s="4">
        <v>140</v>
      </c>
      <c r="AP13" s="4">
        <v>140</v>
      </c>
      <c r="AQ13" s="4">
        <v>140</v>
      </c>
      <c r="AR13" s="4">
        <v>140</v>
      </c>
      <c r="AS13" s="4">
        <v>140</v>
      </c>
      <c r="AT13" s="4">
        <v>140</v>
      </c>
      <c r="AU13" s="4">
        <v>140</v>
      </c>
      <c r="AV13" s="4">
        <v>140</v>
      </c>
      <c r="AW13" s="4">
        <v>140</v>
      </c>
      <c r="AX13" s="4">
        <v>142</v>
      </c>
    </row>
    <row r="14" spans="1:50" x14ac:dyDescent="0.25">
      <c r="A14" s="4">
        <v>63</v>
      </c>
      <c r="B14" s="4">
        <v>107</v>
      </c>
      <c r="C14" s="4">
        <v>145</v>
      </c>
      <c r="D14" s="4">
        <v>145</v>
      </c>
      <c r="E14" s="4">
        <v>145</v>
      </c>
      <c r="F14" s="4">
        <v>145</v>
      </c>
      <c r="G14" s="4">
        <v>149</v>
      </c>
      <c r="H14" s="4">
        <v>149</v>
      </c>
      <c r="I14" s="4">
        <v>149</v>
      </c>
      <c r="J14" s="4">
        <v>149</v>
      </c>
      <c r="K14" s="4">
        <v>149</v>
      </c>
      <c r="L14" s="4">
        <v>149</v>
      </c>
      <c r="M14" s="4">
        <v>149</v>
      </c>
      <c r="N14" s="4">
        <v>153</v>
      </c>
      <c r="O14" s="4">
        <v>153</v>
      </c>
      <c r="P14" s="4">
        <v>153</v>
      </c>
      <c r="Q14" s="4">
        <v>153</v>
      </c>
      <c r="R14" s="4">
        <v>153</v>
      </c>
      <c r="S14" s="4">
        <v>153</v>
      </c>
      <c r="T14" s="4">
        <v>153</v>
      </c>
      <c r="U14" s="4">
        <v>153</v>
      </c>
      <c r="V14" s="4">
        <v>153</v>
      </c>
      <c r="W14" s="4">
        <v>153</v>
      </c>
      <c r="X14" s="4">
        <v>153</v>
      </c>
      <c r="Y14" s="4">
        <v>153</v>
      </c>
      <c r="Z14" s="4">
        <v>155</v>
      </c>
      <c r="AA14" s="4">
        <v>141</v>
      </c>
      <c r="AB14" s="4">
        <v>141</v>
      </c>
      <c r="AC14" s="4">
        <v>141</v>
      </c>
      <c r="AD14" s="4">
        <v>141</v>
      </c>
      <c r="AE14" s="4">
        <v>143</v>
      </c>
      <c r="AF14" s="4">
        <v>143</v>
      </c>
      <c r="AG14" s="4">
        <v>143</v>
      </c>
      <c r="AH14" s="4">
        <v>143</v>
      </c>
      <c r="AI14" s="4">
        <v>143</v>
      </c>
      <c r="AJ14" s="4">
        <v>143</v>
      </c>
      <c r="AK14" s="4">
        <v>143</v>
      </c>
      <c r="AL14" s="4">
        <v>144</v>
      </c>
      <c r="AM14" s="4">
        <v>144</v>
      </c>
      <c r="AN14" s="4">
        <v>144</v>
      </c>
      <c r="AO14" s="4">
        <v>144</v>
      </c>
      <c r="AP14" s="4">
        <v>144</v>
      </c>
      <c r="AQ14" s="4">
        <v>144</v>
      </c>
      <c r="AR14" s="4">
        <v>144</v>
      </c>
      <c r="AS14" s="4">
        <v>144</v>
      </c>
      <c r="AT14" s="4">
        <v>144</v>
      </c>
      <c r="AU14" s="4">
        <v>144</v>
      </c>
      <c r="AV14" s="4">
        <v>144</v>
      </c>
      <c r="AW14" s="4">
        <v>144</v>
      </c>
      <c r="AX14" s="4">
        <v>146</v>
      </c>
    </row>
    <row r="15" spans="1:50" x14ac:dyDescent="0.25">
      <c r="A15" s="4">
        <v>64</v>
      </c>
      <c r="B15" s="4">
        <v>110</v>
      </c>
      <c r="C15" s="4">
        <v>150</v>
      </c>
      <c r="D15" s="4">
        <v>150</v>
      </c>
      <c r="E15" s="4">
        <v>150</v>
      </c>
      <c r="F15" s="4">
        <v>150</v>
      </c>
      <c r="G15" s="4">
        <v>154</v>
      </c>
      <c r="H15" s="4">
        <v>154</v>
      </c>
      <c r="I15" s="4">
        <v>154</v>
      </c>
      <c r="J15" s="4">
        <v>154</v>
      </c>
      <c r="K15" s="4">
        <v>154</v>
      </c>
      <c r="L15" s="4">
        <v>154</v>
      </c>
      <c r="M15" s="4">
        <v>154</v>
      </c>
      <c r="N15" s="4">
        <v>158</v>
      </c>
      <c r="O15" s="4">
        <v>158</v>
      </c>
      <c r="P15" s="4">
        <v>158</v>
      </c>
      <c r="Q15" s="4">
        <v>158</v>
      </c>
      <c r="R15" s="4">
        <v>158</v>
      </c>
      <c r="S15" s="4">
        <v>158</v>
      </c>
      <c r="T15" s="4">
        <v>158</v>
      </c>
      <c r="U15" s="4">
        <v>158</v>
      </c>
      <c r="V15" s="4">
        <v>158</v>
      </c>
      <c r="W15" s="4">
        <v>158</v>
      </c>
      <c r="X15" s="4">
        <v>158</v>
      </c>
      <c r="Y15" s="4">
        <v>158</v>
      </c>
      <c r="Z15" s="4">
        <v>160</v>
      </c>
      <c r="AA15" s="4">
        <v>145</v>
      </c>
      <c r="AB15" s="4">
        <v>145</v>
      </c>
      <c r="AC15" s="4">
        <v>145</v>
      </c>
      <c r="AD15" s="4">
        <v>145</v>
      </c>
      <c r="AE15" s="4">
        <v>147</v>
      </c>
      <c r="AF15" s="4">
        <v>147</v>
      </c>
      <c r="AG15" s="4">
        <v>147</v>
      </c>
      <c r="AH15" s="4">
        <v>147</v>
      </c>
      <c r="AI15" s="4">
        <v>147</v>
      </c>
      <c r="AJ15" s="4">
        <v>147</v>
      </c>
      <c r="AK15" s="4">
        <v>147</v>
      </c>
      <c r="AL15" s="4">
        <v>149</v>
      </c>
      <c r="AM15" s="4">
        <v>149</v>
      </c>
      <c r="AN15" s="4">
        <v>149</v>
      </c>
      <c r="AO15" s="4">
        <v>149</v>
      </c>
      <c r="AP15" s="4">
        <v>149</v>
      </c>
      <c r="AQ15" s="4">
        <v>149</v>
      </c>
      <c r="AR15" s="4">
        <v>149</v>
      </c>
      <c r="AS15" s="4">
        <v>149</v>
      </c>
      <c r="AT15" s="4">
        <v>149</v>
      </c>
      <c r="AU15" s="4">
        <v>149</v>
      </c>
      <c r="AV15" s="4">
        <v>149</v>
      </c>
      <c r="AW15" s="4">
        <v>149</v>
      </c>
      <c r="AX15" s="4">
        <v>151</v>
      </c>
    </row>
    <row r="16" spans="1:50" x14ac:dyDescent="0.25">
      <c r="A16" s="4">
        <v>65</v>
      </c>
      <c r="B16" s="4">
        <v>114</v>
      </c>
      <c r="C16" s="4">
        <v>155</v>
      </c>
      <c r="D16" s="4">
        <v>155</v>
      </c>
      <c r="E16" s="4">
        <v>155</v>
      </c>
      <c r="F16" s="4">
        <v>155</v>
      </c>
      <c r="G16" s="4">
        <v>159</v>
      </c>
      <c r="H16" s="4">
        <v>159</v>
      </c>
      <c r="I16" s="4">
        <v>159</v>
      </c>
      <c r="J16" s="4">
        <v>159</v>
      </c>
      <c r="K16" s="4">
        <v>159</v>
      </c>
      <c r="L16" s="4">
        <v>159</v>
      </c>
      <c r="M16" s="4">
        <v>159</v>
      </c>
      <c r="N16" s="4">
        <v>163</v>
      </c>
      <c r="O16" s="4">
        <v>163</v>
      </c>
      <c r="P16" s="4">
        <v>163</v>
      </c>
      <c r="Q16" s="4">
        <v>163</v>
      </c>
      <c r="R16" s="4">
        <v>163</v>
      </c>
      <c r="S16" s="4">
        <v>163</v>
      </c>
      <c r="T16" s="4">
        <v>163</v>
      </c>
      <c r="U16" s="4">
        <v>163</v>
      </c>
      <c r="V16" s="4">
        <v>163</v>
      </c>
      <c r="W16" s="4">
        <v>163</v>
      </c>
      <c r="X16" s="4">
        <v>163</v>
      </c>
      <c r="Y16" s="4">
        <v>163</v>
      </c>
      <c r="Z16" s="4">
        <v>165</v>
      </c>
      <c r="AA16" s="4">
        <v>150</v>
      </c>
      <c r="AB16" s="4">
        <v>150</v>
      </c>
      <c r="AC16" s="4">
        <v>150</v>
      </c>
      <c r="AD16" s="4">
        <v>150</v>
      </c>
      <c r="AE16" s="4">
        <v>152</v>
      </c>
      <c r="AF16" s="4">
        <v>152</v>
      </c>
      <c r="AG16" s="4">
        <v>152</v>
      </c>
      <c r="AH16" s="4">
        <v>152</v>
      </c>
      <c r="AI16" s="4">
        <v>152</v>
      </c>
      <c r="AJ16" s="4">
        <v>152</v>
      </c>
      <c r="AK16" s="4">
        <v>152</v>
      </c>
      <c r="AL16" s="4">
        <v>154</v>
      </c>
      <c r="AM16" s="4">
        <v>154</v>
      </c>
      <c r="AN16" s="4">
        <v>154</v>
      </c>
      <c r="AO16" s="4">
        <v>154</v>
      </c>
      <c r="AP16" s="4">
        <v>154</v>
      </c>
      <c r="AQ16" s="4">
        <v>154</v>
      </c>
      <c r="AR16" s="4">
        <v>154</v>
      </c>
      <c r="AS16" s="4">
        <v>154</v>
      </c>
      <c r="AT16" s="4">
        <v>154</v>
      </c>
      <c r="AU16" s="4">
        <v>154</v>
      </c>
      <c r="AV16" s="4">
        <v>154</v>
      </c>
      <c r="AW16" s="4">
        <v>154</v>
      </c>
      <c r="AX16" s="4">
        <v>156</v>
      </c>
    </row>
    <row r="17" spans="1:50" x14ac:dyDescent="0.25">
      <c r="A17" s="4">
        <v>66</v>
      </c>
      <c r="B17" s="4">
        <v>117</v>
      </c>
      <c r="C17" s="4">
        <v>160</v>
      </c>
      <c r="D17" s="4">
        <v>160</v>
      </c>
      <c r="E17" s="4">
        <v>160</v>
      </c>
      <c r="F17" s="4">
        <v>160</v>
      </c>
      <c r="G17" s="4">
        <v>163</v>
      </c>
      <c r="H17" s="4">
        <v>163</v>
      </c>
      <c r="I17" s="4">
        <v>163</v>
      </c>
      <c r="J17" s="4">
        <v>163</v>
      </c>
      <c r="K17" s="4">
        <v>163</v>
      </c>
      <c r="L17" s="4">
        <v>163</v>
      </c>
      <c r="M17" s="4">
        <v>163</v>
      </c>
      <c r="N17" s="4">
        <v>168</v>
      </c>
      <c r="O17" s="4">
        <v>168</v>
      </c>
      <c r="P17" s="4">
        <v>168</v>
      </c>
      <c r="Q17" s="4">
        <v>168</v>
      </c>
      <c r="R17" s="4">
        <v>168</v>
      </c>
      <c r="S17" s="4">
        <v>168</v>
      </c>
      <c r="T17" s="4">
        <v>168</v>
      </c>
      <c r="U17" s="4">
        <v>168</v>
      </c>
      <c r="V17" s="4">
        <v>168</v>
      </c>
      <c r="W17" s="4">
        <v>168</v>
      </c>
      <c r="X17" s="4">
        <v>168</v>
      </c>
      <c r="Y17" s="4">
        <v>168</v>
      </c>
      <c r="Z17" s="4">
        <v>170</v>
      </c>
      <c r="AA17" s="4">
        <v>155</v>
      </c>
      <c r="AB17" s="4">
        <v>155</v>
      </c>
      <c r="AC17" s="4">
        <v>155</v>
      </c>
      <c r="AD17" s="4">
        <v>155</v>
      </c>
      <c r="AE17" s="4">
        <v>156</v>
      </c>
      <c r="AF17" s="4">
        <v>156</v>
      </c>
      <c r="AG17" s="4">
        <v>156</v>
      </c>
      <c r="AH17" s="4">
        <v>156</v>
      </c>
      <c r="AI17" s="4">
        <v>156</v>
      </c>
      <c r="AJ17" s="4">
        <v>156</v>
      </c>
      <c r="AK17" s="4">
        <v>156</v>
      </c>
      <c r="AL17" s="4">
        <v>158</v>
      </c>
      <c r="AM17" s="4">
        <v>158</v>
      </c>
      <c r="AN17" s="4">
        <v>158</v>
      </c>
      <c r="AO17" s="4">
        <v>158</v>
      </c>
      <c r="AP17" s="4">
        <v>158</v>
      </c>
      <c r="AQ17" s="4">
        <v>158</v>
      </c>
      <c r="AR17" s="4">
        <v>158</v>
      </c>
      <c r="AS17" s="4">
        <v>158</v>
      </c>
      <c r="AT17" s="4">
        <v>158</v>
      </c>
      <c r="AU17" s="4">
        <v>158</v>
      </c>
      <c r="AV17" s="4">
        <v>158</v>
      </c>
      <c r="AW17" s="4">
        <v>158</v>
      </c>
      <c r="AX17" s="4">
        <v>161</v>
      </c>
    </row>
    <row r="18" spans="1:50" x14ac:dyDescent="0.25">
      <c r="A18" s="4">
        <v>67</v>
      </c>
      <c r="B18" s="4">
        <v>121</v>
      </c>
      <c r="C18" s="4">
        <v>165</v>
      </c>
      <c r="D18" s="4">
        <v>165</v>
      </c>
      <c r="E18" s="4">
        <v>165</v>
      </c>
      <c r="F18" s="4">
        <v>165</v>
      </c>
      <c r="G18" s="4">
        <v>169</v>
      </c>
      <c r="H18" s="4">
        <v>169</v>
      </c>
      <c r="I18" s="4">
        <v>169</v>
      </c>
      <c r="J18" s="4">
        <v>169</v>
      </c>
      <c r="K18" s="4">
        <v>169</v>
      </c>
      <c r="L18" s="4">
        <v>169</v>
      </c>
      <c r="M18" s="4">
        <v>169</v>
      </c>
      <c r="N18" s="4">
        <v>174</v>
      </c>
      <c r="O18" s="4">
        <v>174</v>
      </c>
      <c r="P18" s="4">
        <v>174</v>
      </c>
      <c r="Q18" s="4">
        <v>174</v>
      </c>
      <c r="R18" s="4">
        <v>174</v>
      </c>
      <c r="S18" s="4">
        <v>174</v>
      </c>
      <c r="T18" s="4">
        <v>174</v>
      </c>
      <c r="U18" s="4">
        <v>174</v>
      </c>
      <c r="V18" s="4">
        <v>174</v>
      </c>
      <c r="W18" s="4">
        <v>174</v>
      </c>
      <c r="X18" s="4">
        <v>174</v>
      </c>
      <c r="Y18" s="4">
        <v>174</v>
      </c>
      <c r="Z18" s="4">
        <v>176</v>
      </c>
      <c r="AA18" s="4">
        <v>159</v>
      </c>
      <c r="AB18" s="4">
        <v>159</v>
      </c>
      <c r="AC18" s="4">
        <v>159</v>
      </c>
      <c r="AD18" s="4">
        <v>159</v>
      </c>
      <c r="AE18" s="4">
        <v>161</v>
      </c>
      <c r="AF18" s="4">
        <v>161</v>
      </c>
      <c r="AG18" s="4">
        <v>161</v>
      </c>
      <c r="AH18" s="4">
        <v>161</v>
      </c>
      <c r="AI18" s="4">
        <v>161</v>
      </c>
      <c r="AJ18" s="4">
        <v>161</v>
      </c>
      <c r="AK18" s="4">
        <v>161</v>
      </c>
      <c r="AL18" s="4">
        <v>163</v>
      </c>
      <c r="AM18" s="4">
        <v>163</v>
      </c>
      <c r="AN18" s="4">
        <v>163</v>
      </c>
      <c r="AO18" s="4">
        <v>163</v>
      </c>
      <c r="AP18" s="4">
        <v>163</v>
      </c>
      <c r="AQ18" s="4">
        <v>163</v>
      </c>
      <c r="AR18" s="4">
        <v>163</v>
      </c>
      <c r="AS18" s="4">
        <v>163</v>
      </c>
      <c r="AT18" s="4">
        <v>163</v>
      </c>
      <c r="AU18" s="4">
        <v>163</v>
      </c>
      <c r="AV18" s="4">
        <v>163</v>
      </c>
      <c r="AW18" s="4">
        <v>163</v>
      </c>
      <c r="AX18" s="4">
        <v>166</v>
      </c>
    </row>
    <row r="19" spans="1:50" x14ac:dyDescent="0.25">
      <c r="A19" s="4">
        <v>68</v>
      </c>
      <c r="B19" s="4">
        <v>125</v>
      </c>
      <c r="C19" s="4">
        <v>170</v>
      </c>
      <c r="D19" s="4">
        <v>170</v>
      </c>
      <c r="E19" s="4">
        <v>170</v>
      </c>
      <c r="F19" s="4">
        <v>170</v>
      </c>
      <c r="G19" s="4">
        <v>174</v>
      </c>
      <c r="H19" s="4">
        <v>174</v>
      </c>
      <c r="I19" s="4">
        <v>174</v>
      </c>
      <c r="J19" s="4">
        <v>174</v>
      </c>
      <c r="K19" s="4">
        <v>174</v>
      </c>
      <c r="L19" s="4">
        <v>174</v>
      </c>
      <c r="M19" s="4">
        <v>174</v>
      </c>
      <c r="N19" s="4">
        <v>179</v>
      </c>
      <c r="O19" s="4">
        <v>179</v>
      </c>
      <c r="P19" s="4">
        <v>179</v>
      </c>
      <c r="Q19" s="4">
        <v>179</v>
      </c>
      <c r="R19" s="4">
        <v>179</v>
      </c>
      <c r="S19" s="4">
        <v>179</v>
      </c>
      <c r="T19" s="4">
        <v>179</v>
      </c>
      <c r="U19" s="4">
        <v>179</v>
      </c>
      <c r="V19" s="4">
        <v>179</v>
      </c>
      <c r="W19" s="4">
        <v>179</v>
      </c>
      <c r="X19" s="4">
        <v>179</v>
      </c>
      <c r="Y19" s="4">
        <v>179</v>
      </c>
      <c r="Z19" s="4">
        <v>181</v>
      </c>
      <c r="AA19" s="4">
        <v>164</v>
      </c>
      <c r="AB19" s="4">
        <v>164</v>
      </c>
      <c r="AC19" s="4">
        <v>164</v>
      </c>
      <c r="AD19" s="4">
        <v>164</v>
      </c>
      <c r="AE19" s="4">
        <v>166</v>
      </c>
      <c r="AF19" s="4">
        <v>166</v>
      </c>
      <c r="AG19" s="4">
        <v>166</v>
      </c>
      <c r="AH19" s="4">
        <v>166</v>
      </c>
      <c r="AI19" s="4">
        <v>166</v>
      </c>
      <c r="AJ19" s="4">
        <v>166</v>
      </c>
      <c r="AK19" s="4">
        <v>166</v>
      </c>
      <c r="AL19" s="4">
        <v>168</v>
      </c>
      <c r="AM19" s="4">
        <v>168</v>
      </c>
      <c r="AN19" s="4">
        <v>168</v>
      </c>
      <c r="AO19" s="4">
        <v>168</v>
      </c>
      <c r="AP19" s="4">
        <v>168</v>
      </c>
      <c r="AQ19" s="4">
        <v>168</v>
      </c>
      <c r="AR19" s="4">
        <v>168</v>
      </c>
      <c r="AS19" s="4">
        <v>168</v>
      </c>
      <c r="AT19" s="4">
        <v>168</v>
      </c>
      <c r="AU19" s="4">
        <v>168</v>
      </c>
      <c r="AV19" s="4">
        <v>168</v>
      </c>
      <c r="AW19" s="4">
        <v>168</v>
      </c>
      <c r="AX19" s="4">
        <v>171</v>
      </c>
    </row>
    <row r="20" spans="1:50" x14ac:dyDescent="0.25">
      <c r="A20" s="4">
        <v>69</v>
      </c>
      <c r="B20" s="4">
        <v>128</v>
      </c>
      <c r="C20" s="4">
        <v>175</v>
      </c>
      <c r="D20" s="4">
        <v>175</v>
      </c>
      <c r="E20" s="4">
        <v>175</v>
      </c>
      <c r="F20" s="4">
        <v>175</v>
      </c>
      <c r="G20" s="4">
        <v>179</v>
      </c>
      <c r="H20" s="4">
        <v>179</v>
      </c>
      <c r="I20" s="4">
        <v>179</v>
      </c>
      <c r="J20" s="4">
        <v>179</v>
      </c>
      <c r="K20" s="4">
        <v>179</v>
      </c>
      <c r="L20" s="4">
        <v>179</v>
      </c>
      <c r="M20" s="4">
        <v>179</v>
      </c>
      <c r="N20" s="4">
        <v>184</v>
      </c>
      <c r="O20" s="4">
        <v>184</v>
      </c>
      <c r="P20" s="4">
        <v>184</v>
      </c>
      <c r="Q20" s="4">
        <v>184</v>
      </c>
      <c r="R20" s="4">
        <v>184</v>
      </c>
      <c r="S20" s="4">
        <v>184</v>
      </c>
      <c r="T20" s="4">
        <v>184</v>
      </c>
      <c r="U20" s="4">
        <v>184</v>
      </c>
      <c r="V20" s="4">
        <v>184</v>
      </c>
      <c r="W20" s="4">
        <v>184</v>
      </c>
      <c r="X20" s="4">
        <v>184</v>
      </c>
      <c r="Y20" s="4">
        <v>184</v>
      </c>
      <c r="Z20" s="4">
        <v>186</v>
      </c>
      <c r="AA20" s="4">
        <v>169</v>
      </c>
      <c r="AB20" s="4">
        <v>169</v>
      </c>
      <c r="AC20" s="4">
        <v>169</v>
      </c>
      <c r="AD20" s="4">
        <v>169</v>
      </c>
      <c r="AE20" s="4">
        <v>171</v>
      </c>
      <c r="AF20" s="4">
        <v>171</v>
      </c>
      <c r="AG20" s="4">
        <v>171</v>
      </c>
      <c r="AH20" s="4">
        <v>171</v>
      </c>
      <c r="AI20" s="4">
        <v>171</v>
      </c>
      <c r="AJ20" s="4">
        <v>171</v>
      </c>
      <c r="AK20" s="4">
        <v>171</v>
      </c>
      <c r="AL20" s="4">
        <v>173</v>
      </c>
      <c r="AM20" s="4">
        <v>173</v>
      </c>
      <c r="AN20" s="4">
        <v>173</v>
      </c>
      <c r="AO20" s="4">
        <v>173</v>
      </c>
      <c r="AP20" s="4">
        <v>173</v>
      </c>
      <c r="AQ20" s="4">
        <v>173</v>
      </c>
      <c r="AR20" s="4">
        <v>173</v>
      </c>
      <c r="AS20" s="4">
        <v>173</v>
      </c>
      <c r="AT20" s="4">
        <v>173</v>
      </c>
      <c r="AU20" s="4">
        <v>173</v>
      </c>
      <c r="AV20" s="4">
        <v>173</v>
      </c>
      <c r="AW20" s="4">
        <v>173</v>
      </c>
      <c r="AX20" s="4">
        <v>176</v>
      </c>
    </row>
    <row r="21" spans="1:50" x14ac:dyDescent="0.25">
      <c r="A21" s="4">
        <v>70</v>
      </c>
      <c r="B21" s="4">
        <v>132</v>
      </c>
      <c r="C21" s="4">
        <v>180</v>
      </c>
      <c r="D21" s="4">
        <v>180</v>
      </c>
      <c r="E21" s="4">
        <v>180</v>
      </c>
      <c r="F21" s="4">
        <v>180</v>
      </c>
      <c r="G21" s="4">
        <v>185</v>
      </c>
      <c r="H21" s="4">
        <v>185</v>
      </c>
      <c r="I21" s="4">
        <v>185</v>
      </c>
      <c r="J21" s="4">
        <v>185</v>
      </c>
      <c r="K21" s="4">
        <v>185</v>
      </c>
      <c r="L21" s="4">
        <v>185</v>
      </c>
      <c r="M21" s="4">
        <v>185</v>
      </c>
      <c r="N21" s="4">
        <v>189</v>
      </c>
      <c r="O21" s="4">
        <v>189</v>
      </c>
      <c r="P21" s="4">
        <v>189</v>
      </c>
      <c r="Q21" s="4">
        <v>189</v>
      </c>
      <c r="R21" s="4">
        <v>189</v>
      </c>
      <c r="S21" s="4">
        <v>189</v>
      </c>
      <c r="T21" s="4">
        <v>189</v>
      </c>
      <c r="U21" s="4">
        <v>189</v>
      </c>
      <c r="V21" s="4">
        <v>189</v>
      </c>
      <c r="W21" s="4">
        <v>189</v>
      </c>
      <c r="X21" s="4">
        <v>189</v>
      </c>
      <c r="Y21" s="4">
        <v>189</v>
      </c>
      <c r="Z21" s="4">
        <v>192</v>
      </c>
      <c r="AA21" s="4">
        <v>174</v>
      </c>
      <c r="AB21" s="4">
        <v>174</v>
      </c>
      <c r="AC21" s="4">
        <v>174</v>
      </c>
      <c r="AD21" s="4">
        <v>174</v>
      </c>
      <c r="AE21" s="4">
        <v>176</v>
      </c>
      <c r="AF21" s="4">
        <v>176</v>
      </c>
      <c r="AG21" s="4">
        <v>176</v>
      </c>
      <c r="AH21" s="4">
        <v>176</v>
      </c>
      <c r="AI21" s="4">
        <v>176</v>
      </c>
      <c r="AJ21" s="4">
        <v>176</v>
      </c>
      <c r="AK21" s="4">
        <v>176</v>
      </c>
      <c r="AL21" s="4">
        <v>178</v>
      </c>
      <c r="AM21" s="4">
        <v>178</v>
      </c>
      <c r="AN21" s="4">
        <v>178</v>
      </c>
      <c r="AO21" s="4">
        <v>178</v>
      </c>
      <c r="AP21" s="4">
        <v>178</v>
      </c>
      <c r="AQ21" s="4">
        <v>178</v>
      </c>
      <c r="AR21" s="4">
        <v>178</v>
      </c>
      <c r="AS21" s="4">
        <v>178</v>
      </c>
      <c r="AT21" s="4">
        <v>178</v>
      </c>
      <c r="AU21" s="4">
        <v>178</v>
      </c>
      <c r="AV21" s="4">
        <v>178</v>
      </c>
      <c r="AW21" s="4">
        <v>178</v>
      </c>
      <c r="AX21" s="4">
        <v>181</v>
      </c>
    </row>
    <row r="22" spans="1:50" x14ac:dyDescent="0.25">
      <c r="A22" s="4">
        <v>71</v>
      </c>
      <c r="B22" s="4">
        <v>136</v>
      </c>
      <c r="C22" s="4">
        <v>185</v>
      </c>
      <c r="D22" s="4">
        <v>185</v>
      </c>
      <c r="E22" s="4">
        <v>185</v>
      </c>
      <c r="F22" s="4">
        <v>185</v>
      </c>
      <c r="G22" s="4">
        <v>189</v>
      </c>
      <c r="H22" s="4">
        <v>189</v>
      </c>
      <c r="I22" s="4">
        <v>189</v>
      </c>
      <c r="J22" s="4">
        <v>189</v>
      </c>
      <c r="K22" s="4">
        <v>189</v>
      </c>
      <c r="L22" s="4">
        <v>189</v>
      </c>
      <c r="M22" s="4">
        <v>189</v>
      </c>
      <c r="N22" s="4">
        <v>194</v>
      </c>
      <c r="O22" s="4">
        <v>194</v>
      </c>
      <c r="P22" s="4">
        <v>194</v>
      </c>
      <c r="Q22" s="4">
        <v>194</v>
      </c>
      <c r="R22" s="4">
        <v>194</v>
      </c>
      <c r="S22" s="4">
        <v>194</v>
      </c>
      <c r="T22" s="4">
        <v>194</v>
      </c>
      <c r="U22" s="4">
        <v>194</v>
      </c>
      <c r="V22" s="4">
        <v>194</v>
      </c>
      <c r="W22" s="4">
        <v>194</v>
      </c>
      <c r="X22" s="4">
        <v>194</v>
      </c>
      <c r="Y22" s="4">
        <v>194</v>
      </c>
      <c r="Z22" s="4">
        <v>197</v>
      </c>
      <c r="AA22" s="4">
        <v>179</v>
      </c>
      <c r="AB22" s="4">
        <v>179</v>
      </c>
      <c r="AC22" s="4">
        <v>179</v>
      </c>
      <c r="AD22" s="4">
        <v>179</v>
      </c>
      <c r="AE22" s="4">
        <v>181</v>
      </c>
      <c r="AF22" s="4">
        <v>181</v>
      </c>
      <c r="AG22" s="4">
        <v>181</v>
      </c>
      <c r="AH22" s="4">
        <v>181</v>
      </c>
      <c r="AI22" s="4">
        <v>181</v>
      </c>
      <c r="AJ22" s="4">
        <v>181</v>
      </c>
      <c r="AK22" s="4">
        <v>181</v>
      </c>
      <c r="AL22" s="4">
        <v>183</v>
      </c>
      <c r="AM22" s="4">
        <v>183</v>
      </c>
      <c r="AN22" s="4">
        <v>183</v>
      </c>
      <c r="AO22" s="4">
        <v>183</v>
      </c>
      <c r="AP22" s="4">
        <v>183</v>
      </c>
      <c r="AQ22" s="4">
        <v>183</v>
      </c>
      <c r="AR22" s="4">
        <v>183</v>
      </c>
      <c r="AS22" s="4">
        <v>183</v>
      </c>
      <c r="AT22" s="4">
        <v>183</v>
      </c>
      <c r="AU22" s="4">
        <v>183</v>
      </c>
      <c r="AV22" s="4">
        <v>183</v>
      </c>
      <c r="AW22" s="4">
        <v>183</v>
      </c>
      <c r="AX22" s="4">
        <v>186</v>
      </c>
    </row>
    <row r="23" spans="1:50" x14ac:dyDescent="0.25">
      <c r="A23" s="4">
        <v>72</v>
      </c>
      <c r="B23" s="4">
        <v>140</v>
      </c>
      <c r="C23" s="4">
        <v>190</v>
      </c>
      <c r="D23" s="4">
        <v>190</v>
      </c>
      <c r="E23" s="4">
        <v>190</v>
      </c>
      <c r="F23" s="4">
        <v>190</v>
      </c>
      <c r="G23" s="4">
        <v>195</v>
      </c>
      <c r="H23" s="4">
        <v>195</v>
      </c>
      <c r="I23" s="4">
        <v>195</v>
      </c>
      <c r="J23" s="4">
        <v>195</v>
      </c>
      <c r="K23" s="4">
        <v>195</v>
      </c>
      <c r="L23" s="4">
        <v>195</v>
      </c>
      <c r="M23" s="4">
        <v>195</v>
      </c>
      <c r="N23" s="4">
        <v>200</v>
      </c>
      <c r="O23" s="4">
        <v>200</v>
      </c>
      <c r="P23" s="4">
        <v>200</v>
      </c>
      <c r="Q23" s="4">
        <v>200</v>
      </c>
      <c r="R23" s="4">
        <v>200</v>
      </c>
      <c r="S23" s="4">
        <v>200</v>
      </c>
      <c r="T23" s="4">
        <v>200</v>
      </c>
      <c r="U23" s="4">
        <v>200</v>
      </c>
      <c r="V23" s="4">
        <v>200</v>
      </c>
      <c r="W23" s="4">
        <v>200</v>
      </c>
      <c r="X23" s="4">
        <v>200</v>
      </c>
      <c r="Y23" s="4">
        <v>200</v>
      </c>
      <c r="Z23" s="4">
        <v>203</v>
      </c>
      <c r="AA23" s="4">
        <v>184</v>
      </c>
      <c r="AB23" s="4">
        <v>184</v>
      </c>
      <c r="AC23" s="4">
        <v>184</v>
      </c>
      <c r="AD23" s="4">
        <v>184</v>
      </c>
      <c r="AE23" s="4">
        <v>186</v>
      </c>
      <c r="AF23" s="4">
        <v>186</v>
      </c>
      <c r="AG23" s="4">
        <v>186</v>
      </c>
      <c r="AH23" s="4">
        <v>186</v>
      </c>
      <c r="AI23" s="4">
        <v>186</v>
      </c>
      <c r="AJ23" s="4">
        <v>186</v>
      </c>
      <c r="AK23" s="4">
        <v>186</v>
      </c>
      <c r="AL23" s="4">
        <v>188</v>
      </c>
      <c r="AM23" s="4">
        <v>188</v>
      </c>
      <c r="AN23" s="4">
        <v>188</v>
      </c>
      <c r="AO23" s="4">
        <v>188</v>
      </c>
      <c r="AP23" s="4">
        <v>188</v>
      </c>
      <c r="AQ23" s="4">
        <v>188</v>
      </c>
      <c r="AR23" s="4">
        <v>188</v>
      </c>
      <c r="AS23" s="4">
        <v>188</v>
      </c>
      <c r="AT23" s="4">
        <v>188</v>
      </c>
      <c r="AU23" s="4">
        <v>188</v>
      </c>
      <c r="AV23" s="4">
        <v>188</v>
      </c>
      <c r="AW23" s="4">
        <v>188</v>
      </c>
      <c r="AX23" s="4">
        <v>191</v>
      </c>
    </row>
    <row r="24" spans="1:50" x14ac:dyDescent="0.25">
      <c r="A24" s="4">
        <v>73</v>
      </c>
      <c r="B24" s="4">
        <v>144</v>
      </c>
      <c r="C24" s="4">
        <v>195</v>
      </c>
      <c r="D24" s="4">
        <v>195</v>
      </c>
      <c r="E24" s="4">
        <v>195</v>
      </c>
      <c r="F24" s="4">
        <v>195</v>
      </c>
      <c r="G24" s="4">
        <v>200</v>
      </c>
      <c r="H24" s="4">
        <v>200</v>
      </c>
      <c r="I24" s="4">
        <v>200</v>
      </c>
      <c r="J24" s="4">
        <v>200</v>
      </c>
      <c r="K24" s="4">
        <v>200</v>
      </c>
      <c r="L24" s="4">
        <v>200</v>
      </c>
      <c r="M24" s="4">
        <v>200</v>
      </c>
      <c r="N24" s="4">
        <v>205</v>
      </c>
      <c r="O24" s="4">
        <v>205</v>
      </c>
      <c r="P24" s="4">
        <v>205</v>
      </c>
      <c r="Q24" s="4">
        <v>205</v>
      </c>
      <c r="R24" s="4">
        <v>205</v>
      </c>
      <c r="S24" s="4">
        <v>205</v>
      </c>
      <c r="T24" s="4">
        <v>205</v>
      </c>
      <c r="U24" s="4">
        <v>205</v>
      </c>
      <c r="V24" s="4">
        <v>205</v>
      </c>
      <c r="W24" s="4">
        <v>205</v>
      </c>
      <c r="X24" s="4">
        <v>205</v>
      </c>
      <c r="Y24" s="4">
        <v>205</v>
      </c>
      <c r="Z24" s="4">
        <v>208</v>
      </c>
      <c r="AA24" s="4">
        <v>189</v>
      </c>
      <c r="AB24" s="4">
        <v>189</v>
      </c>
      <c r="AC24" s="4">
        <v>189</v>
      </c>
      <c r="AD24" s="4">
        <v>189</v>
      </c>
      <c r="AE24" s="4">
        <v>191</v>
      </c>
      <c r="AF24" s="4">
        <v>191</v>
      </c>
      <c r="AG24" s="4">
        <v>191</v>
      </c>
      <c r="AH24" s="4">
        <v>191</v>
      </c>
      <c r="AI24" s="4">
        <v>191</v>
      </c>
      <c r="AJ24" s="4">
        <v>191</v>
      </c>
      <c r="AK24" s="4">
        <v>191</v>
      </c>
      <c r="AL24" s="4">
        <v>194</v>
      </c>
      <c r="AM24" s="4">
        <v>194</v>
      </c>
      <c r="AN24" s="4">
        <v>194</v>
      </c>
      <c r="AO24" s="4">
        <v>194</v>
      </c>
      <c r="AP24" s="4">
        <v>194</v>
      </c>
      <c r="AQ24" s="4">
        <v>194</v>
      </c>
      <c r="AR24" s="4">
        <v>194</v>
      </c>
      <c r="AS24" s="4">
        <v>194</v>
      </c>
      <c r="AT24" s="4">
        <v>194</v>
      </c>
      <c r="AU24" s="4">
        <v>194</v>
      </c>
      <c r="AV24" s="4">
        <v>194</v>
      </c>
      <c r="AW24" s="4">
        <v>194</v>
      </c>
      <c r="AX24" s="4">
        <v>197</v>
      </c>
    </row>
    <row r="25" spans="1:50" x14ac:dyDescent="0.25">
      <c r="A25" s="4">
        <v>74</v>
      </c>
      <c r="B25" s="4">
        <v>148</v>
      </c>
      <c r="C25" s="4">
        <v>201</v>
      </c>
      <c r="D25" s="4">
        <v>201</v>
      </c>
      <c r="E25" s="4">
        <v>201</v>
      </c>
      <c r="F25" s="4">
        <v>201</v>
      </c>
      <c r="G25" s="4">
        <v>206</v>
      </c>
      <c r="H25" s="4">
        <v>206</v>
      </c>
      <c r="I25" s="4">
        <v>206</v>
      </c>
      <c r="J25" s="4">
        <v>206</v>
      </c>
      <c r="K25" s="4">
        <v>206</v>
      </c>
      <c r="L25" s="4">
        <v>206</v>
      </c>
      <c r="M25" s="4">
        <v>206</v>
      </c>
      <c r="N25" s="4">
        <v>211</v>
      </c>
      <c r="O25" s="4">
        <v>211</v>
      </c>
      <c r="P25" s="4">
        <v>211</v>
      </c>
      <c r="Q25" s="4">
        <v>211</v>
      </c>
      <c r="R25" s="4">
        <v>211</v>
      </c>
      <c r="S25" s="4">
        <v>211</v>
      </c>
      <c r="T25" s="4">
        <v>211</v>
      </c>
      <c r="U25" s="4">
        <v>211</v>
      </c>
      <c r="V25" s="4">
        <v>211</v>
      </c>
      <c r="W25" s="4">
        <v>211</v>
      </c>
      <c r="X25" s="4">
        <v>211</v>
      </c>
      <c r="Y25" s="4">
        <v>211</v>
      </c>
      <c r="Z25" s="4">
        <v>214</v>
      </c>
      <c r="AA25" s="4">
        <v>194</v>
      </c>
      <c r="AB25" s="4">
        <v>194</v>
      </c>
      <c r="AC25" s="4">
        <v>194</v>
      </c>
      <c r="AD25" s="4">
        <v>194</v>
      </c>
      <c r="AE25" s="4">
        <v>197</v>
      </c>
      <c r="AF25" s="4">
        <v>197</v>
      </c>
      <c r="AG25" s="4">
        <v>197</v>
      </c>
      <c r="AH25" s="4">
        <v>197</v>
      </c>
      <c r="AI25" s="4">
        <v>197</v>
      </c>
      <c r="AJ25" s="4">
        <v>197</v>
      </c>
      <c r="AK25" s="4">
        <v>197</v>
      </c>
      <c r="AL25" s="4">
        <v>199</v>
      </c>
      <c r="AM25" s="4">
        <v>199</v>
      </c>
      <c r="AN25" s="4">
        <v>199</v>
      </c>
      <c r="AO25" s="4">
        <v>199</v>
      </c>
      <c r="AP25" s="4">
        <v>199</v>
      </c>
      <c r="AQ25" s="4">
        <v>199</v>
      </c>
      <c r="AR25" s="4">
        <v>199</v>
      </c>
      <c r="AS25" s="4">
        <v>199</v>
      </c>
      <c r="AT25" s="4">
        <v>199</v>
      </c>
      <c r="AU25" s="4">
        <v>199</v>
      </c>
      <c r="AV25" s="4">
        <v>199</v>
      </c>
      <c r="AW25" s="4">
        <v>199</v>
      </c>
      <c r="AX25" s="4">
        <v>202</v>
      </c>
    </row>
    <row r="26" spans="1:50" x14ac:dyDescent="0.25">
      <c r="A26" s="4">
        <v>75</v>
      </c>
      <c r="B26" s="4">
        <v>152</v>
      </c>
      <c r="C26" s="4">
        <v>206</v>
      </c>
      <c r="D26" s="4">
        <v>206</v>
      </c>
      <c r="E26" s="4">
        <v>206</v>
      </c>
      <c r="F26" s="4">
        <v>206</v>
      </c>
      <c r="G26" s="4">
        <v>212</v>
      </c>
      <c r="H26" s="4">
        <v>212</v>
      </c>
      <c r="I26" s="4">
        <v>212</v>
      </c>
      <c r="J26" s="4">
        <v>212</v>
      </c>
      <c r="K26" s="4">
        <v>212</v>
      </c>
      <c r="L26" s="4">
        <v>212</v>
      </c>
      <c r="M26" s="4">
        <v>212</v>
      </c>
      <c r="N26" s="4">
        <v>217</v>
      </c>
      <c r="O26" s="4">
        <v>217</v>
      </c>
      <c r="P26" s="4">
        <v>217</v>
      </c>
      <c r="Q26" s="4">
        <v>217</v>
      </c>
      <c r="R26" s="4">
        <v>217</v>
      </c>
      <c r="S26" s="4">
        <v>217</v>
      </c>
      <c r="T26" s="4">
        <v>217</v>
      </c>
      <c r="U26" s="4">
        <v>217</v>
      </c>
      <c r="V26" s="4">
        <v>217</v>
      </c>
      <c r="W26" s="4">
        <v>217</v>
      </c>
      <c r="X26" s="4">
        <v>217</v>
      </c>
      <c r="Y26" s="4">
        <v>217</v>
      </c>
      <c r="Z26" s="4">
        <v>220</v>
      </c>
      <c r="AA26" s="4">
        <v>200</v>
      </c>
      <c r="AB26" s="4">
        <v>200</v>
      </c>
      <c r="AC26" s="4">
        <v>200</v>
      </c>
      <c r="AD26" s="4">
        <v>200</v>
      </c>
      <c r="AE26" s="4">
        <v>202</v>
      </c>
      <c r="AF26" s="4">
        <v>202</v>
      </c>
      <c r="AG26" s="4">
        <v>202</v>
      </c>
      <c r="AH26" s="4">
        <v>202</v>
      </c>
      <c r="AI26" s="4">
        <v>202</v>
      </c>
      <c r="AJ26" s="4">
        <v>202</v>
      </c>
      <c r="AK26" s="4">
        <v>202</v>
      </c>
      <c r="AL26" s="4">
        <v>204</v>
      </c>
      <c r="AM26" s="4">
        <v>204</v>
      </c>
      <c r="AN26" s="4">
        <v>204</v>
      </c>
      <c r="AO26" s="4">
        <v>204</v>
      </c>
      <c r="AP26" s="4">
        <v>204</v>
      </c>
      <c r="AQ26" s="4">
        <v>204</v>
      </c>
      <c r="AR26" s="4">
        <v>204</v>
      </c>
      <c r="AS26" s="4">
        <v>204</v>
      </c>
      <c r="AT26" s="4">
        <v>204</v>
      </c>
      <c r="AU26" s="4">
        <v>204</v>
      </c>
      <c r="AV26" s="4">
        <v>204</v>
      </c>
      <c r="AW26" s="4">
        <v>204</v>
      </c>
      <c r="AX26" s="4">
        <v>208</v>
      </c>
    </row>
    <row r="27" spans="1:50" x14ac:dyDescent="0.25">
      <c r="A27" s="4">
        <v>76</v>
      </c>
      <c r="B27" s="4">
        <v>156</v>
      </c>
      <c r="C27" s="4">
        <v>212</v>
      </c>
      <c r="D27" s="4">
        <v>212</v>
      </c>
      <c r="E27" s="4">
        <v>212</v>
      </c>
      <c r="F27" s="4">
        <v>212</v>
      </c>
      <c r="G27" s="4">
        <v>217</v>
      </c>
      <c r="H27" s="4">
        <v>217</v>
      </c>
      <c r="I27" s="4">
        <v>217</v>
      </c>
      <c r="J27" s="4">
        <v>217</v>
      </c>
      <c r="K27" s="4">
        <v>217</v>
      </c>
      <c r="L27" s="4">
        <v>217</v>
      </c>
      <c r="M27" s="4">
        <v>217</v>
      </c>
      <c r="N27" s="4">
        <v>223</v>
      </c>
      <c r="O27" s="4">
        <v>223</v>
      </c>
      <c r="P27" s="4">
        <v>223</v>
      </c>
      <c r="Q27" s="4">
        <v>223</v>
      </c>
      <c r="R27" s="4">
        <v>223</v>
      </c>
      <c r="S27" s="4">
        <v>223</v>
      </c>
      <c r="T27" s="4">
        <v>223</v>
      </c>
      <c r="U27" s="4">
        <v>223</v>
      </c>
      <c r="V27" s="4">
        <v>223</v>
      </c>
      <c r="W27" s="4">
        <v>223</v>
      </c>
      <c r="X27" s="4">
        <v>223</v>
      </c>
      <c r="Y27" s="4">
        <v>223</v>
      </c>
      <c r="Z27" s="4">
        <v>226</v>
      </c>
      <c r="AA27" s="4">
        <v>205</v>
      </c>
      <c r="AB27" s="4">
        <v>205</v>
      </c>
      <c r="AC27" s="4">
        <v>205</v>
      </c>
      <c r="AD27" s="4">
        <v>205</v>
      </c>
      <c r="AE27" s="4">
        <v>207</v>
      </c>
      <c r="AF27" s="4">
        <v>207</v>
      </c>
      <c r="AG27" s="4">
        <v>207</v>
      </c>
      <c r="AH27" s="4">
        <v>207</v>
      </c>
      <c r="AI27" s="4">
        <v>207</v>
      </c>
      <c r="AJ27" s="4">
        <v>207</v>
      </c>
      <c r="AK27" s="4">
        <v>207</v>
      </c>
      <c r="AL27" s="4">
        <v>210</v>
      </c>
      <c r="AM27" s="4">
        <v>210</v>
      </c>
      <c r="AN27" s="4">
        <v>210</v>
      </c>
      <c r="AO27" s="4">
        <v>210</v>
      </c>
      <c r="AP27" s="4">
        <v>210</v>
      </c>
      <c r="AQ27" s="4">
        <v>210</v>
      </c>
      <c r="AR27" s="4">
        <v>210</v>
      </c>
      <c r="AS27" s="4">
        <v>210</v>
      </c>
      <c r="AT27" s="4">
        <v>210</v>
      </c>
      <c r="AU27" s="4">
        <v>210</v>
      </c>
      <c r="AV27" s="4">
        <v>210</v>
      </c>
      <c r="AW27" s="4">
        <v>210</v>
      </c>
      <c r="AX27" s="4">
        <v>213</v>
      </c>
    </row>
    <row r="28" spans="1:50" x14ac:dyDescent="0.25">
      <c r="A28" s="4">
        <v>77</v>
      </c>
      <c r="B28" s="4">
        <v>160</v>
      </c>
      <c r="C28" s="4">
        <v>218</v>
      </c>
      <c r="D28" s="4">
        <v>218</v>
      </c>
      <c r="E28" s="4">
        <v>218</v>
      </c>
      <c r="F28" s="4">
        <v>218</v>
      </c>
      <c r="G28" s="4">
        <v>223</v>
      </c>
      <c r="H28" s="4">
        <v>223</v>
      </c>
      <c r="I28" s="4">
        <v>223</v>
      </c>
      <c r="J28" s="4">
        <v>223</v>
      </c>
      <c r="K28" s="4">
        <v>223</v>
      </c>
      <c r="L28" s="4">
        <v>223</v>
      </c>
      <c r="M28" s="4">
        <v>223</v>
      </c>
      <c r="N28" s="4">
        <v>229</v>
      </c>
      <c r="O28" s="4">
        <v>229</v>
      </c>
      <c r="P28" s="4">
        <v>229</v>
      </c>
      <c r="Q28" s="4">
        <v>229</v>
      </c>
      <c r="R28" s="4">
        <v>229</v>
      </c>
      <c r="S28" s="4">
        <v>229</v>
      </c>
      <c r="T28" s="4">
        <v>229</v>
      </c>
      <c r="U28" s="4">
        <v>229</v>
      </c>
      <c r="V28" s="4">
        <v>229</v>
      </c>
      <c r="W28" s="4">
        <v>229</v>
      </c>
      <c r="X28" s="4">
        <v>229</v>
      </c>
      <c r="Y28" s="4">
        <v>229</v>
      </c>
      <c r="Z28" s="4">
        <v>232</v>
      </c>
      <c r="AA28" s="4">
        <v>210</v>
      </c>
      <c r="AB28" s="4">
        <v>210</v>
      </c>
      <c r="AC28" s="4">
        <v>210</v>
      </c>
      <c r="AD28" s="4">
        <v>210</v>
      </c>
      <c r="AE28" s="4">
        <v>213</v>
      </c>
      <c r="AF28" s="4">
        <v>213</v>
      </c>
      <c r="AG28" s="4">
        <v>213</v>
      </c>
      <c r="AH28" s="4">
        <v>213</v>
      </c>
      <c r="AI28" s="4">
        <v>213</v>
      </c>
      <c r="AJ28" s="4">
        <v>213</v>
      </c>
      <c r="AK28" s="4">
        <v>213</v>
      </c>
      <c r="AL28" s="4">
        <v>215</v>
      </c>
      <c r="AM28" s="4">
        <v>215</v>
      </c>
      <c r="AN28" s="4">
        <v>215</v>
      </c>
      <c r="AO28" s="4">
        <v>215</v>
      </c>
      <c r="AP28" s="4">
        <v>215</v>
      </c>
      <c r="AQ28" s="4">
        <v>215</v>
      </c>
      <c r="AR28" s="4">
        <v>215</v>
      </c>
      <c r="AS28" s="4">
        <v>215</v>
      </c>
      <c r="AT28" s="4">
        <v>215</v>
      </c>
      <c r="AU28" s="4">
        <v>215</v>
      </c>
      <c r="AV28" s="4">
        <v>215</v>
      </c>
      <c r="AW28" s="4">
        <v>215</v>
      </c>
      <c r="AX28" s="4">
        <v>219</v>
      </c>
    </row>
    <row r="29" spans="1:50" x14ac:dyDescent="0.25">
      <c r="A29" s="4">
        <v>78</v>
      </c>
      <c r="B29" s="4">
        <v>164</v>
      </c>
      <c r="C29" s="4">
        <v>223</v>
      </c>
      <c r="D29" s="4">
        <v>223</v>
      </c>
      <c r="E29" s="4">
        <v>223</v>
      </c>
      <c r="F29" s="4">
        <v>223</v>
      </c>
      <c r="G29" s="4">
        <v>229</v>
      </c>
      <c r="H29" s="4">
        <v>229</v>
      </c>
      <c r="I29" s="4">
        <v>229</v>
      </c>
      <c r="J29" s="4">
        <v>229</v>
      </c>
      <c r="K29" s="4">
        <v>229</v>
      </c>
      <c r="L29" s="4">
        <v>229</v>
      </c>
      <c r="M29" s="4">
        <v>229</v>
      </c>
      <c r="N29" s="4">
        <v>235</v>
      </c>
      <c r="O29" s="4">
        <v>235</v>
      </c>
      <c r="P29" s="4">
        <v>235</v>
      </c>
      <c r="Q29" s="4">
        <v>235</v>
      </c>
      <c r="R29" s="4">
        <v>235</v>
      </c>
      <c r="S29" s="4">
        <v>235</v>
      </c>
      <c r="T29" s="4">
        <v>235</v>
      </c>
      <c r="U29" s="4">
        <v>235</v>
      </c>
      <c r="V29" s="4">
        <v>235</v>
      </c>
      <c r="W29" s="4">
        <v>235</v>
      </c>
      <c r="X29" s="4">
        <v>235</v>
      </c>
      <c r="Y29" s="4">
        <v>235</v>
      </c>
      <c r="Z29" s="4">
        <v>238</v>
      </c>
      <c r="AA29" s="4">
        <v>216</v>
      </c>
      <c r="AB29" s="4">
        <v>216</v>
      </c>
      <c r="AC29" s="4">
        <v>216</v>
      </c>
      <c r="AD29" s="4">
        <v>216</v>
      </c>
      <c r="AE29" s="4">
        <v>218</v>
      </c>
      <c r="AF29" s="4">
        <v>218</v>
      </c>
      <c r="AG29" s="4">
        <v>218</v>
      </c>
      <c r="AH29" s="4">
        <v>218</v>
      </c>
      <c r="AI29" s="4">
        <v>218</v>
      </c>
      <c r="AJ29" s="4">
        <v>218</v>
      </c>
      <c r="AK29" s="4">
        <v>218</v>
      </c>
      <c r="AL29" s="4">
        <v>221</v>
      </c>
      <c r="AM29" s="4">
        <v>221</v>
      </c>
      <c r="AN29" s="4">
        <v>221</v>
      </c>
      <c r="AO29" s="4">
        <v>221</v>
      </c>
      <c r="AP29" s="4">
        <v>221</v>
      </c>
      <c r="AQ29" s="4">
        <v>221</v>
      </c>
      <c r="AR29" s="4">
        <v>221</v>
      </c>
      <c r="AS29" s="4">
        <v>221</v>
      </c>
      <c r="AT29" s="4">
        <v>221</v>
      </c>
      <c r="AU29" s="4">
        <v>221</v>
      </c>
      <c r="AV29" s="4">
        <v>221</v>
      </c>
      <c r="AW29" s="4">
        <v>221</v>
      </c>
      <c r="AX29" s="4">
        <v>225</v>
      </c>
    </row>
    <row r="30" spans="1:50" x14ac:dyDescent="0.25">
      <c r="A30" s="4">
        <v>79</v>
      </c>
      <c r="B30" s="4">
        <v>168</v>
      </c>
      <c r="C30" s="4">
        <v>229</v>
      </c>
      <c r="D30" s="4">
        <v>229</v>
      </c>
      <c r="E30" s="4">
        <v>229</v>
      </c>
      <c r="F30" s="4">
        <v>229</v>
      </c>
      <c r="G30" s="4">
        <v>235</v>
      </c>
      <c r="H30" s="4">
        <v>235</v>
      </c>
      <c r="I30" s="4">
        <v>235</v>
      </c>
      <c r="J30" s="4">
        <v>235</v>
      </c>
      <c r="K30" s="4">
        <v>235</v>
      </c>
      <c r="L30" s="4">
        <v>235</v>
      </c>
      <c r="M30" s="4">
        <v>235</v>
      </c>
      <c r="N30" s="4">
        <v>241</v>
      </c>
      <c r="O30" s="4">
        <v>241</v>
      </c>
      <c r="P30" s="4">
        <v>241</v>
      </c>
      <c r="Q30" s="4">
        <v>241</v>
      </c>
      <c r="R30" s="4">
        <v>241</v>
      </c>
      <c r="S30" s="4">
        <v>241</v>
      </c>
      <c r="T30" s="4">
        <v>241</v>
      </c>
      <c r="U30" s="4">
        <v>241</v>
      </c>
      <c r="V30" s="4">
        <v>241</v>
      </c>
      <c r="W30" s="4">
        <v>241</v>
      </c>
      <c r="X30" s="4">
        <v>241</v>
      </c>
      <c r="Y30" s="4">
        <v>241</v>
      </c>
      <c r="Z30" s="4">
        <v>244</v>
      </c>
      <c r="AA30" s="4">
        <v>221</v>
      </c>
      <c r="AB30" s="4">
        <v>221</v>
      </c>
      <c r="AC30" s="4">
        <v>221</v>
      </c>
      <c r="AD30" s="4">
        <v>221</v>
      </c>
      <c r="AE30" s="4">
        <v>224</v>
      </c>
      <c r="AF30" s="4">
        <v>224</v>
      </c>
      <c r="AG30" s="4">
        <v>224</v>
      </c>
      <c r="AH30" s="4">
        <v>224</v>
      </c>
      <c r="AI30" s="4">
        <v>224</v>
      </c>
      <c r="AJ30" s="4">
        <v>224</v>
      </c>
      <c r="AK30" s="4">
        <v>224</v>
      </c>
      <c r="AL30" s="4">
        <v>227</v>
      </c>
      <c r="AM30" s="4">
        <v>227</v>
      </c>
      <c r="AN30" s="4">
        <v>227</v>
      </c>
      <c r="AO30" s="4">
        <v>227</v>
      </c>
      <c r="AP30" s="4">
        <v>227</v>
      </c>
      <c r="AQ30" s="4">
        <v>227</v>
      </c>
      <c r="AR30" s="4">
        <v>227</v>
      </c>
      <c r="AS30" s="4">
        <v>227</v>
      </c>
      <c r="AT30" s="4">
        <v>227</v>
      </c>
      <c r="AU30" s="4">
        <v>227</v>
      </c>
      <c r="AV30" s="4">
        <v>227</v>
      </c>
      <c r="AW30" s="4">
        <v>227</v>
      </c>
      <c r="AX30" s="4">
        <v>230</v>
      </c>
    </row>
    <row r="31" spans="1:50" x14ac:dyDescent="0.25">
      <c r="A31" s="4">
        <v>80</v>
      </c>
      <c r="B31" s="4">
        <v>173</v>
      </c>
      <c r="C31" s="4">
        <v>234</v>
      </c>
      <c r="D31" s="4">
        <v>234</v>
      </c>
      <c r="E31" s="4">
        <v>234</v>
      </c>
      <c r="F31" s="4">
        <v>234</v>
      </c>
      <c r="G31" s="4">
        <v>240</v>
      </c>
      <c r="H31" s="4">
        <v>240</v>
      </c>
      <c r="I31" s="4">
        <v>240</v>
      </c>
      <c r="J31" s="4">
        <v>240</v>
      </c>
      <c r="K31" s="4">
        <v>240</v>
      </c>
      <c r="L31" s="4">
        <v>240</v>
      </c>
      <c r="M31" s="4">
        <v>240</v>
      </c>
      <c r="N31" s="4">
        <v>247</v>
      </c>
      <c r="O31" s="4">
        <v>247</v>
      </c>
      <c r="P31" s="4">
        <v>247</v>
      </c>
      <c r="Q31" s="4">
        <v>247</v>
      </c>
      <c r="R31" s="4">
        <v>247</v>
      </c>
      <c r="S31" s="4">
        <v>247</v>
      </c>
      <c r="T31" s="4">
        <v>247</v>
      </c>
      <c r="U31" s="4">
        <v>247</v>
      </c>
      <c r="V31" s="4">
        <v>247</v>
      </c>
      <c r="W31" s="4">
        <v>247</v>
      </c>
      <c r="X31" s="4">
        <v>247</v>
      </c>
      <c r="Y31" s="4">
        <v>247</v>
      </c>
      <c r="Z31" s="4">
        <v>250</v>
      </c>
      <c r="AA31" s="4">
        <v>227</v>
      </c>
      <c r="AB31" s="4">
        <v>227</v>
      </c>
      <c r="AC31" s="4">
        <v>227</v>
      </c>
      <c r="AD31" s="4">
        <v>227</v>
      </c>
      <c r="AE31" s="4">
        <v>230</v>
      </c>
      <c r="AF31" s="4">
        <v>230</v>
      </c>
      <c r="AG31" s="4">
        <v>230</v>
      </c>
      <c r="AH31" s="4">
        <v>230</v>
      </c>
      <c r="AI31" s="4">
        <v>230</v>
      </c>
      <c r="AJ31" s="4">
        <v>230</v>
      </c>
      <c r="AK31" s="4">
        <v>230</v>
      </c>
      <c r="AL31" s="4">
        <v>233</v>
      </c>
      <c r="AM31" s="4">
        <v>233</v>
      </c>
      <c r="AN31" s="4">
        <v>233</v>
      </c>
      <c r="AO31" s="4">
        <v>233</v>
      </c>
      <c r="AP31" s="4">
        <v>233</v>
      </c>
      <c r="AQ31" s="4">
        <v>233</v>
      </c>
      <c r="AR31" s="4">
        <v>233</v>
      </c>
      <c r="AS31" s="4">
        <v>233</v>
      </c>
      <c r="AT31" s="4">
        <v>233</v>
      </c>
      <c r="AU31" s="4">
        <v>233</v>
      </c>
      <c r="AV31" s="4">
        <v>233</v>
      </c>
      <c r="AW31" s="4">
        <v>233</v>
      </c>
      <c r="AX31" s="4">
        <v>236</v>
      </c>
    </row>
    <row r="32" spans="1:50" x14ac:dyDescent="0.25"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</row>
    <row r="33" spans="3:49" x14ac:dyDescent="0.25"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</row>
    <row r="34" spans="3:49" x14ac:dyDescent="0.25"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</row>
    <row r="35" spans="3:49" x14ac:dyDescent="0.25"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</row>
    <row r="36" spans="3:49" x14ac:dyDescent="0.25"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</row>
    <row r="37" spans="3:49" x14ac:dyDescent="0.25"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</row>
    <row r="38" spans="3:49" x14ac:dyDescent="0.25"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</row>
    <row r="39" spans="3:49" x14ac:dyDescent="0.25"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</row>
    <row r="40" spans="3:49" x14ac:dyDescent="0.25"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</row>
    <row r="41" spans="3:49" x14ac:dyDescent="0.25"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</row>
    <row r="42" spans="3:49" x14ac:dyDescent="0.25"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</row>
    <row r="43" spans="3:49" x14ac:dyDescent="0.25"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</row>
    <row r="44" spans="3:49" x14ac:dyDescent="0.25"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</row>
    <row r="45" spans="3:49" x14ac:dyDescent="0.25"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</row>
    <row r="46" spans="3:49" x14ac:dyDescent="0.25"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</row>
    <row r="47" spans="3:49" x14ac:dyDescent="0.25"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</row>
    <row r="48" spans="3:49" x14ac:dyDescent="0.25"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</row>
    <row r="49" spans="3:49" x14ac:dyDescent="0.25"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</row>
    <row r="50" spans="3:49" x14ac:dyDescent="0.25"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</row>
    <row r="51" spans="3:49" x14ac:dyDescent="0.25"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</row>
  </sheetData>
  <mergeCells count="124">
    <mergeCell ref="C32:F32"/>
    <mergeCell ref="G32:M32"/>
    <mergeCell ref="N32:Y32"/>
    <mergeCell ref="C33:F33"/>
    <mergeCell ref="G33:M33"/>
    <mergeCell ref="N33:Y33"/>
    <mergeCell ref="C36:F36"/>
    <mergeCell ref="G36:M36"/>
    <mergeCell ref="N36:Y36"/>
    <mergeCell ref="C37:F37"/>
    <mergeCell ref="G37:M37"/>
    <mergeCell ref="N37:Y37"/>
    <mergeCell ref="C34:F34"/>
    <mergeCell ref="G34:M34"/>
    <mergeCell ref="N34:Y34"/>
    <mergeCell ref="C35:F35"/>
    <mergeCell ref="G35:M35"/>
    <mergeCell ref="N35:Y35"/>
    <mergeCell ref="C40:F40"/>
    <mergeCell ref="G40:M40"/>
    <mergeCell ref="N40:Y40"/>
    <mergeCell ref="C41:F41"/>
    <mergeCell ref="G41:M41"/>
    <mergeCell ref="N41:Y41"/>
    <mergeCell ref="C38:F38"/>
    <mergeCell ref="G38:M38"/>
    <mergeCell ref="N38:Y38"/>
    <mergeCell ref="C39:F39"/>
    <mergeCell ref="G39:M39"/>
    <mergeCell ref="N39:Y39"/>
    <mergeCell ref="C45:F45"/>
    <mergeCell ref="G45:M45"/>
    <mergeCell ref="N45:Y45"/>
    <mergeCell ref="C42:F42"/>
    <mergeCell ref="G42:M42"/>
    <mergeCell ref="N42:Y42"/>
    <mergeCell ref="C43:F43"/>
    <mergeCell ref="G43:M43"/>
    <mergeCell ref="N43:Y43"/>
    <mergeCell ref="AA32:AD32"/>
    <mergeCell ref="AE32:AK32"/>
    <mergeCell ref="AL32:AW32"/>
    <mergeCell ref="C50:F50"/>
    <mergeCell ref="G50:M50"/>
    <mergeCell ref="N50:Y50"/>
    <mergeCell ref="C51:F51"/>
    <mergeCell ref="G51:M51"/>
    <mergeCell ref="N51:Y51"/>
    <mergeCell ref="C48:F48"/>
    <mergeCell ref="G48:M48"/>
    <mergeCell ref="N48:Y48"/>
    <mergeCell ref="C49:F49"/>
    <mergeCell ref="G49:M49"/>
    <mergeCell ref="N49:Y49"/>
    <mergeCell ref="C46:F46"/>
    <mergeCell ref="G46:M46"/>
    <mergeCell ref="N46:Y46"/>
    <mergeCell ref="C47:F47"/>
    <mergeCell ref="G47:M47"/>
    <mergeCell ref="N47:Y47"/>
    <mergeCell ref="C44:F44"/>
    <mergeCell ref="G44:M44"/>
    <mergeCell ref="N44:Y44"/>
    <mergeCell ref="AA35:AD35"/>
    <mergeCell ref="AE35:AK35"/>
    <mergeCell ref="AL35:AW35"/>
    <mergeCell ref="AA36:AD36"/>
    <mergeCell ref="AE36:AK36"/>
    <mergeCell ref="AL36:AW36"/>
    <mergeCell ref="AA33:AD33"/>
    <mergeCell ref="AE33:AK33"/>
    <mergeCell ref="AL33:AW33"/>
    <mergeCell ref="AA34:AD34"/>
    <mergeCell ref="AE34:AK34"/>
    <mergeCell ref="AL34:AW34"/>
    <mergeCell ref="AA39:AD39"/>
    <mergeCell ref="AE39:AK39"/>
    <mergeCell ref="AL39:AW39"/>
    <mergeCell ref="AA40:AD40"/>
    <mergeCell ref="AE40:AK40"/>
    <mergeCell ref="AL40:AW40"/>
    <mergeCell ref="AA37:AD37"/>
    <mergeCell ref="AE37:AK37"/>
    <mergeCell ref="AL37:AW37"/>
    <mergeCell ref="AA38:AD38"/>
    <mergeCell ref="AE38:AK38"/>
    <mergeCell ref="AL38:AW38"/>
    <mergeCell ref="AL46:AW46"/>
    <mergeCell ref="AA43:AD43"/>
    <mergeCell ref="AE43:AK43"/>
    <mergeCell ref="AL43:AW43"/>
    <mergeCell ref="AA44:AD44"/>
    <mergeCell ref="AE44:AK44"/>
    <mergeCell ref="AL44:AW44"/>
    <mergeCell ref="AA41:AD41"/>
    <mergeCell ref="AE41:AK41"/>
    <mergeCell ref="AL41:AW41"/>
    <mergeCell ref="AA42:AD42"/>
    <mergeCell ref="AE42:AK42"/>
    <mergeCell ref="AL42:AW42"/>
    <mergeCell ref="AA51:AD51"/>
    <mergeCell ref="AE51:AK51"/>
    <mergeCell ref="AL51:AW51"/>
    <mergeCell ref="A5:AX5"/>
    <mergeCell ref="A6:AX6"/>
    <mergeCell ref="C7:Z7"/>
    <mergeCell ref="AA7:AX7"/>
    <mergeCell ref="AA49:AD49"/>
    <mergeCell ref="AE49:AK49"/>
    <mergeCell ref="AL49:AW49"/>
    <mergeCell ref="AA50:AD50"/>
    <mergeCell ref="AE50:AK50"/>
    <mergeCell ref="AL50:AW50"/>
    <mergeCell ref="AA47:AD47"/>
    <mergeCell ref="AE47:AK47"/>
    <mergeCell ref="AL47:AW47"/>
    <mergeCell ref="AA48:AD48"/>
    <mergeCell ref="AE48:AK48"/>
    <mergeCell ref="AL48:AW48"/>
    <mergeCell ref="AA45:AD45"/>
    <mergeCell ref="AE45:AK45"/>
    <mergeCell ref="AL45:AW45"/>
    <mergeCell ref="AA46:AD46"/>
    <mergeCell ref="AE46:AK4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4F595-D0AF-4CC8-B975-84450AA860BA}">
  <sheetPr codeName="Sheet4"/>
  <dimension ref="A1:F30"/>
  <sheetViews>
    <sheetView zoomScale="220" zoomScaleNormal="220" workbookViewId="0">
      <selection activeCell="E31" sqref="E31"/>
    </sheetView>
  </sheetViews>
  <sheetFormatPr defaultRowHeight="15" x14ac:dyDescent="0.25"/>
  <cols>
    <col min="1" max="1" width="10.42578125" bestFit="1" customWidth="1"/>
    <col min="2" max="2" width="11.85546875" style="8" bestFit="1" customWidth="1"/>
    <col min="3" max="3" width="17.28515625" bestFit="1" customWidth="1"/>
    <col min="4" max="4" width="4.5703125" bestFit="1" customWidth="1"/>
    <col min="5" max="5" width="19.28515625" bestFit="1" customWidth="1"/>
    <col min="6" max="6" width="4.5703125" bestFit="1" customWidth="1"/>
    <col min="7" max="9" width="3" bestFit="1" customWidth="1"/>
    <col min="10" max="10" width="20.5703125" customWidth="1"/>
    <col min="12" max="12" width="23.5703125" customWidth="1"/>
  </cols>
  <sheetData>
    <row r="1" spans="1:6" ht="15" customHeight="1" x14ac:dyDescent="0.25">
      <c r="A1" t="s">
        <v>18</v>
      </c>
      <c r="B1"/>
    </row>
    <row r="2" spans="1:6" ht="15" customHeight="1" x14ac:dyDescent="0.25">
      <c r="A2" t="s">
        <v>33</v>
      </c>
      <c r="B2"/>
    </row>
    <row r="3" spans="1:6" x14ac:dyDescent="0.25">
      <c r="A3" s="5" t="s">
        <v>11</v>
      </c>
      <c r="B3" s="5" t="s">
        <v>12</v>
      </c>
      <c r="C3" s="5" t="s">
        <v>13</v>
      </c>
      <c r="D3" s="7">
        <v>0.2</v>
      </c>
      <c r="E3" s="5" t="s">
        <v>14</v>
      </c>
      <c r="F3" s="6">
        <v>0.3</v>
      </c>
    </row>
    <row r="4" spans="1:6" x14ac:dyDescent="0.25">
      <c r="A4" s="5" t="s">
        <v>11</v>
      </c>
      <c r="B4" s="5" t="s">
        <v>15</v>
      </c>
      <c r="C4" s="5" t="s">
        <v>13</v>
      </c>
      <c r="D4" s="7">
        <v>0.22</v>
      </c>
      <c r="E4" s="5" t="s">
        <v>14</v>
      </c>
      <c r="F4" s="6">
        <v>0.32</v>
      </c>
    </row>
    <row r="5" spans="1:6" x14ac:dyDescent="0.25">
      <c r="A5" s="5" t="s">
        <v>11</v>
      </c>
      <c r="B5" s="5" t="s">
        <v>16</v>
      </c>
      <c r="C5" s="5" t="s">
        <v>13</v>
      </c>
      <c r="D5" s="7">
        <v>0.24</v>
      </c>
      <c r="E5" s="5" t="s">
        <v>14</v>
      </c>
      <c r="F5" s="6">
        <v>0.34</v>
      </c>
    </row>
    <row r="6" spans="1:6" x14ac:dyDescent="0.25">
      <c r="A6" s="5" t="s">
        <v>11</v>
      </c>
      <c r="B6" s="5" t="s">
        <v>17</v>
      </c>
      <c r="C6" s="5" t="s">
        <v>13</v>
      </c>
      <c r="D6" s="7">
        <v>0.26</v>
      </c>
      <c r="E6" s="5" t="s">
        <v>14</v>
      </c>
      <c r="F6" s="6">
        <v>0.36</v>
      </c>
    </row>
    <row r="7" spans="1:6" x14ac:dyDescent="0.25">
      <c r="C7">
        <v>17</v>
      </c>
      <c r="D7" s="7">
        <v>0.2</v>
      </c>
      <c r="E7">
        <v>17</v>
      </c>
      <c r="F7" s="6">
        <v>0.3</v>
      </c>
    </row>
    <row r="8" spans="1:6" x14ac:dyDescent="0.25">
      <c r="C8">
        <v>18</v>
      </c>
      <c r="D8" s="7">
        <v>0.2</v>
      </c>
      <c r="E8">
        <v>18</v>
      </c>
      <c r="F8" s="6">
        <v>0.3</v>
      </c>
    </row>
    <row r="9" spans="1:6" x14ac:dyDescent="0.25">
      <c r="C9">
        <v>19</v>
      </c>
      <c r="D9" s="7">
        <v>0.2</v>
      </c>
      <c r="E9">
        <v>19</v>
      </c>
      <c r="F9" s="6">
        <v>0.3</v>
      </c>
    </row>
    <row r="10" spans="1:6" x14ac:dyDescent="0.25">
      <c r="C10">
        <v>20</v>
      </c>
      <c r="D10" s="7">
        <v>0.2</v>
      </c>
      <c r="E10">
        <v>20</v>
      </c>
      <c r="F10" s="6">
        <v>0.3</v>
      </c>
    </row>
    <row r="11" spans="1:6" x14ac:dyDescent="0.25">
      <c r="C11">
        <v>21</v>
      </c>
      <c r="D11" s="7">
        <v>0.22</v>
      </c>
      <c r="E11">
        <v>21</v>
      </c>
      <c r="F11" s="6">
        <v>0.32</v>
      </c>
    </row>
    <row r="12" spans="1:6" x14ac:dyDescent="0.25">
      <c r="C12">
        <v>22</v>
      </c>
      <c r="D12" s="7">
        <v>0.22</v>
      </c>
      <c r="E12">
        <v>22</v>
      </c>
      <c r="F12" s="6">
        <v>0.32</v>
      </c>
    </row>
    <row r="13" spans="1:6" x14ac:dyDescent="0.25">
      <c r="C13">
        <v>23</v>
      </c>
      <c r="D13" s="7">
        <v>0.22</v>
      </c>
      <c r="E13">
        <v>23</v>
      </c>
      <c r="F13" s="6">
        <v>0.32</v>
      </c>
    </row>
    <row r="14" spans="1:6" x14ac:dyDescent="0.25">
      <c r="C14">
        <v>24</v>
      </c>
      <c r="D14" s="7">
        <v>0.22</v>
      </c>
      <c r="E14">
        <v>24</v>
      </c>
      <c r="F14" s="6">
        <v>0.32</v>
      </c>
    </row>
    <row r="15" spans="1:6" x14ac:dyDescent="0.25">
      <c r="C15">
        <v>25</v>
      </c>
      <c r="D15" s="7">
        <v>0.22</v>
      </c>
      <c r="E15">
        <v>25</v>
      </c>
      <c r="F15" s="6">
        <v>0.32</v>
      </c>
    </row>
    <row r="16" spans="1:6" x14ac:dyDescent="0.25">
      <c r="C16">
        <v>26</v>
      </c>
      <c r="D16" s="7">
        <v>0.22</v>
      </c>
      <c r="E16">
        <v>26</v>
      </c>
      <c r="F16" s="6">
        <v>0.32</v>
      </c>
    </row>
    <row r="17" spans="3:6" x14ac:dyDescent="0.25">
      <c r="C17">
        <v>27</v>
      </c>
      <c r="D17" s="7">
        <v>0.22</v>
      </c>
      <c r="E17">
        <v>27</v>
      </c>
      <c r="F17" s="6">
        <v>0.32</v>
      </c>
    </row>
    <row r="18" spans="3:6" x14ac:dyDescent="0.25">
      <c r="C18">
        <v>28</v>
      </c>
      <c r="D18" s="7">
        <v>0.24</v>
      </c>
      <c r="E18">
        <v>28</v>
      </c>
      <c r="F18" s="6">
        <v>0.34</v>
      </c>
    </row>
    <row r="19" spans="3:6" x14ac:dyDescent="0.25">
      <c r="C19">
        <v>29</v>
      </c>
      <c r="D19" s="7">
        <v>0.24</v>
      </c>
      <c r="E19">
        <v>29</v>
      </c>
      <c r="F19" s="6">
        <v>0.34</v>
      </c>
    </row>
    <row r="20" spans="3:6" x14ac:dyDescent="0.25">
      <c r="C20">
        <v>30</v>
      </c>
      <c r="D20" s="7">
        <v>0.24</v>
      </c>
      <c r="E20">
        <v>30</v>
      </c>
      <c r="F20" s="6">
        <v>0.34</v>
      </c>
    </row>
    <row r="21" spans="3:6" x14ac:dyDescent="0.25">
      <c r="C21">
        <v>31</v>
      </c>
      <c r="D21" s="7">
        <v>0.24</v>
      </c>
      <c r="E21">
        <v>31</v>
      </c>
      <c r="F21" s="6">
        <v>0.34</v>
      </c>
    </row>
    <row r="22" spans="3:6" x14ac:dyDescent="0.25">
      <c r="C22">
        <v>32</v>
      </c>
      <c r="D22" s="7">
        <v>0.24</v>
      </c>
      <c r="E22">
        <v>32</v>
      </c>
      <c r="F22" s="6">
        <v>0.34</v>
      </c>
    </row>
    <row r="23" spans="3:6" x14ac:dyDescent="0.25">
      <c r="C23">
        <v>33</v>
      </c>
      <c r="D23" s="7">
        <v>0.24</v>
      </c>
      <c r="E23">
        <v>33</v>
      </c>
      <c r="F23" s="6">
        <v>0.34</v>
      </c>
    </row>
    <row r="24" spans="3:6" x14ac:dyDescent="0.25">
      <c r="C24">
        <v>34</v>
      </c>
      <c r="D24" s="7">
        <v>0.24</v>
      </c>
      <c r="E24">
        <v>34</v>
      </c>
      <c r="F24" s="6">
        <v>0.34</v>
      </c>
    </row>
    <row r="25" spans="3:6" x14ac:dyDescent="0.25">
      <c r="C25">
        <v>35</v>
      </c>
      <c r="D25" s="7">
        <v>0.24</v>
      </c>
      <c r="E25">
        <v>35</v>
      </c>
      <c r="F25" s="6">
        <v>0.34</v>
      </c>
    </row>
    <row r="26" spans="3:6" x14ac:dyDescent="0.25">
      <c r="C26">
        <v>36</v>
      </c>
      <c r="D26" s="7">
        <v>0.24</v>
      </c>
      <c r="E26">
        <v>36</v>
      </c>
      <c r="F26" s="6">
        <v>0.34</v>
      </c>
    </row>
    <row r="27" spans="3:6" x14ac:dyDescent="0.25">
      <c r="C27">
        <v>37</v>
      </c>
      <c r="D27" s="7">
        <v>0.24</v>
      </c>
      <c r="E27">
        <v>37</v>
      </c>
      <c r="F27" s="6">
        <v>0.34</v>
      </c>
    </row>
    <row r="28" spans="3:6" x14ac:dyDescent="0.25">
      <c r="C28">
        <v>38</v>
      </c>
      <c r="D28" s="7">
        <v>0.24</v>
      </c>
      <c r="E28">
        <v>38</v>
      </c>
      <c r="F28" s="6">
        <v>0.34</v>
      </c>
    </row>
    <row r="29" spans="3:6" x14ac:dyDescent="0.25">
      <c r="C29">
        <v>39</v>
      </c>
      <c r="D29" s="7">
        <v>0.24</v>
      </c>
      <c r="E29">
        <v>39</v>
      </c>
      <c r="F29" s="6">
        <v>0.34</v>
      </c>
    </row>
    <row r="30" spans="3:6" x14ac:dyDescent="0.25">
      <c r="C30">
        <v>40</v>
      </c>
      <c r="D30" s="7">
        <v>0.26</v>
      </c>
      <c r="E30">
        <v>40</v>
      </c>
      <c r="F30" s="6">
        <v>0.36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A538A-E898-41C0-BB23-12A1B36BC8E2}">
  <sheetPr codeName="Sheet5"/>
  <dimension ref="A1:AP164"/>
  <sheetViews>
    <sheetView zoomScale="115" zoomScaleNormal="115" workbookViewId="0">
      <pane xSplit="2" ySplit="3" topLeftCell="C4" activePane="bottomRight" state="frozen"/>
      <selection pane="topRight" activeCell="B1" sqref="B1"/>
      <selection pane="bottomLeft" activeCell="A3" sqref="A3"/>
      <selection pane="bottomRight" activeCell="O113" sqref="O113"/>
    </sheetView>
  </sheetViews>
  <sheetFormatPr defaultRowHeight="15" x14ac:dyDescent="0.25"/>
  <cols>
    <col min="2" max="2" width="4.42578125" bestFit="1" customWidth="1"/>
    <col min="3" max="14" width="5" customWidth="1"/>
    <col min="15" max="15" width="7.140625" bestFit="1" customWidth="1"/>
    <col min="16" max="42" width="5" customWidth="1"/>
  </cols>
  <sheetData>
    <row r="1" spans="1:42" x14ac:dyDescent="0.25">
      <c r="A1" s="11"/>
      <c r="B1" s="11"/>
      <c r="C1" s="25" t="s">
        <v>30</v>
      </c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</row>
    <row r="2" spans="1:42" x14ac:dyDescent="0.25">
      <c r="A2" s="20"/>
      <c r="B2" s="9"/>
      <c r="C2" s="25" t="s">
        <v>29</v>
      </c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</row>
    <row r="3" spans="1:42" x14ac:dyDescent="0.25">
      <c r="A3" s="20"/>
      <c r="B3" s="9"/>
      <c r="C3" s="10">
        <v>27</v>
      </c>
      <c r="D3" s="10">
        <v>27.5</v>
      </c>
      <c r="E3" s="10">
        <v>28</v>
      </c>
      <c r="F3" s="10">
        <v>28.5</v>
      </c>
      <c r="G3" s="10">
        <v>29</v>
      </c>
      <c r="H3" s="10">
        <v>29.5</v>
      </c>
      <c r="I3" s="10">
        <v>30</v>
      </c>
      <c r="J3" s="10">
        <v>30.5</v>
      </c>
      <c r="K3" s="10">
        <v>31</v>
      </c>
      <c r="L3" s="10">
        <v>31.5</v>
      </c>
      <c r="M3" s="10">
        <v>32</v>
      </c>
      <c r="N3" s="10">
        <v>32.5</v>
      </c>
      <c r="O3" s="10">
        <v>33</v>
      </c>
      <c r="P3" s="10">
        <v>33.5</v>
      </c>
      <c r="Q3" s="10">
        <v>34</v>
      </c>
      <c r="R3" s="10">
        <v>34.5</v>
      </c>
      <c r="S3" s="10">
        <v>35</v>
      </c>
      <c r="T3" s="10">
        <v>35.5</v>
      </c>
      <c r="U3" s="10">
        <v>36</v>
      </c>
      <c r="V3" s="10">
        <v>36.5</v>
      </c>
      <c r="W3" s="10">
        <v>37</v>
      </c>
      <c r="X3" s="10">
        <v>37.5</v>
      </c>
      <c r="Y3" s="10">
        <v>38</v>
      </c>
      <c r="Z3" s="10">
        <v>38.5</v>
      </c>
      <c r="AA3" s="10">
        <v>39</v>
      </c>
      <c r="AB3" s="10">
        <v>39.5</v>
      </c>
      <c r="AC3" s="10">
        <v>40</v>
      </c>
      <c r="AD3" s="10">
        <v>40.5</v>
      </c>
      <c r="AE3" s="10">
        <v>41</v>
      </c>
      <c r="AF3" s="10">
        <v>41.5</v>
      </c>
      <c r="AG3" s="10">
        <v>42</v>
      </c>
      <c r="AH3" s="10">
        <v>42.5</v>
      </c>
      <c r="AI3" s="10">
        <v>43</v>
      </c>
      <c r="AJ3" s="10">
        <v>43.5</v>
      </c>
      <c r="AK3" s="10"/>
      <c r="AL3" s="10"/>
      <c r="AM3" s="10"/>
      <c r="AN3" s="10"/>
      <c r="AO3" s="10"/>
      <c r="AP3" s="10"/>
    </row>
    <row r="4" spans="1:42" x14ac:dyDescent="0.25">
      <c r="A4" s="24" t="s">
        <v>32</v>
      </c>
      <c r="B4">
        <v>90</v>
      </c>
      <c r="C4">
        <v>16</v>
      </c>
      <c r="D4">
        <v>17</v>
      </c>
      <c r="E4">
        <v>18</v>
      </c>
      <c r="F4">
        <v>19</v>
      </c>
      <c r="G4">
        <v>20</v>
      </c>
      <c r="H4">
        <v>21</v>
      </c>
      <c r="I4">
        <v>22</v>
      </c>
      <c r="J4">
        <v>23</v>
      </c>
      <c r="K4">
        <v>24</v>
      </c>
      <c r="L4">
        <v>25</v>
      </c>
      <c r="M4">
        <v>26</v>
      </c>
      <c r="N4">
        <v>27</v>
      </c>
      <c r="O4">
        <v>28</v>
      </c>
      <c r="P4">
        <v>29</v>
      </c>
      <c r="Q4">
        <v>30</v>
      </c>
      <c r="R4">
        <v>31</v>
      </c>
      <c r="S4">
        <v>32</v>
      </c>
      <c r="T4">
        <v>33</v>
      </c>
      <c r="U4">
        <v>34</v>
      </c>
      <c r="V4">
        <v>35</v>
      </c>
      <c r="W4">
        <v>36</v>
      </c>
      <c r="X4">
        <v>37</v>
      </c>
      <c r="Y4">
        <v>38</v>
      </c>
      <c r="Z4">
        <v>39</v>
      </c>
      <c r="AA4">
        <v>40</v>
      </c>
      <c r="AB4">
        <v>41</v>
      </c>
      <c r="AC4">
        <v>42</v>
      </c>
      <c r="AD4">
        <v>43</v>
      </c>
      <c r="AE4">
        <v>44</v>
      </c>
      <c r="AF4">
        <v>45</v>
      </c>
      <c r="AG4">
        <v>46</v>
      </c>
      <c r="AH4">
        <v>47</v>
      </c>
      <c r="AI4">
        <v>48</v>
      </c>
      <c r="AJ4">
        <v>49</v>
      </c>
    </row>
    <row r="5" spans="1:42" x14ac:dyDescent="0.25">
      <c r="A5" s="24"/>
      <c r="B5">
        <v>91</v>
      </c>
      <c r="C5">
        <v>16</v>
      </c>
      <c r="D5">
        <v>17</v>
      </c>
      <c r="E5">
        <v>18</v>
      </c>
      <c r="F5">
        <v>19</v>
      </c>
      <c r="G5">
        <v>20</v>
      </c>
      <c r="H5">
        <v>21</v>
      </c>
      <c r="I5">
        <v>22</v>
      </c>
      <c r="J5">
        <v>23</v>
      </c>
      <c r="K5">
        <v>24</v>
      </c>
      <c r="L5">
        <v>25</v>
      </c>
      <c r="M5">
        <v>26</v>
      </c>
      <c r="N5">
        <v>27</v>
      </c>
      <c r="O5">
        <v>28</v>
      </c>
      <c r="P5">
        <v>29</v>
      </c>
      <c r="Q5">
        <v>30</v>
      </c>
      <c r="R5">
        <v>31</v>
      </c>
      <c r="S5">
        <v>32</v>
      </c>
      <c r="T5">
        <v>33</v>
      </c>
      <c r="U5">
        <v>34</v>
      </c>
      <c r="V5">
        <v>35</v>
      </c>
      <c r="W5">
        <v>36</v>
      </c>
      <c r="X5">
        <v>37</v>
      </c>
      <c r="Y5">
        <v>38</v>
      </c>
      <c r="Z5">
        <v>39</v>
      </c>
      <c r="AA5">
        <v>40</v>
      </c>
      <c r="AB5">
        <v>41</v>
      </c>
      <c r="AC5">
        <v>42</v>
      </c>
      <c r="AD5">
        <v>43</v>
      </c>
      <c r="AE5">
        <v>44</v>
      </c>
      <c r="AF5">
        <v>45</v>
      </c>
      <c r="AG5">
        <v>46</v>
      </c>
      <c r="AH5">
        <v>47</v>
      </c>
      <c r="AI5">
        <v>48</v>
      </c>
      <c r="AJ5">
        <v>49</v>
      </c>
    </row>
    <row r="6" spans="1:42" x14ac:dyDescent="0.25">
      <c r="A6" s="24"/>
      <c r="B6">
        <v>92</v>
      </c>
      <c r="C6">
        <v>16</v>
      </c>
      <c r="D6">
        <v>17</v>
      </c>
      <c r="E6">
        <v>18</v>
      </c>
      <c r="F6">
        <v>19</v>
      </c>
      <c r="G6">
        <v>20</v>
      </c>
      <c r="H6">
        <v>21</v>
      </c>
      <c r="I6">
        <v>22</v>
      </c>
      <c r="J6">
        <v>23</v>
      </c>
      <c r="K6">
        <v>24</v>
      </c>
      <c r="L6">
        <v>25</v>
      </c>
      <c r="M6">
        <v>26</v>
      </c>
      <c r="N6">
        <v>27</v>
      </c>
      <c r="O6">
        <v>28</v>
      </c>
      <c r="P6">
        <v>29</v>
      </c>
      <c r="Q6">
        <v>30</v>
      </c>
      <c r="R6">
        <v>31</v>
      </c>
      <c r="S6">
        <v>32</v>
      </c>
      <c r="T6">
        <v>33</v>
      </c>
      <c r="U6">
        <v>34</v>
      </c>
      <c r="V6">
        <v>35</v>
      </c>
      <c r="W6">
        <v>36</v>
      </c>
      <c r="X6">
        <v>37</v>
      </c>
      <c r="Y6">
        <v>38</v>
      </c>
      <c r="Z6">
        <v>39</v>
      </c>
      <c r="AA6">
        <v>40</v>
      </c>
      <c r="AB6">
        <v>41</v>
      </c>
      <c r="AC6">
        <v>42</v>
      </c>
      <c r="AD6">
        <v>43</v>
      </c>
      <c r="AE6">
        <v>44</v>
      </c>
      <c r="AF6">
        <v>45</v>
      </c>
      <c r="AG6">
        <v>46</v>
      </c>
      <c r="AH6">
        <v>47</v>
      </c>
      <c r="AI6">
        <v>48</v>
      </c>
      <c r="AJ6">
        <v>49</v>
      </c>
    </row>
    <row r="7" spans="1:42" x14ac:dyDescent="0.25">
      <c r="A7" s="24"/>
      <c r="B7">
        <v>93</v>
      </c>
      <c r="C7">
        <v>16</v>
      </c>
      <c r="D7">
        <v>17</v>
      </c>
      <c r="E7">
        <v>18</v>
      </c>
      <c r="F7">
        <v>19</v>
      </c>
      <c r="G7">
        <v>20</v>
      </c>
      <c r="H7">
        <v>21</v>
      </c>
      <c r="I7">
        <v>22</v>
      </c>
      <c r="J7">
        <v>23</v>
      </c>
      <c r="K7">
        <v>24</v>
      </c>
      <c r="L7">
        <v>25</v>
      </c>
      <c r="M7">
        <v>26</v>
      </c>
      <c r="N7">
        <v>27</v>
      </c>
      <c r="O7">
        <v>28</v>
      </c>
      <c r="P7">
        <v>29</v>
      </c>
      <c r="Q7">
        <v>30</v>
      </c>
      <c r="R7">
        <v>31</v>
      </c>
      <c r="S7">
        <v>32</v>
      </c>
      <c r="T7">
        <v>33</v>
      </c>
      <c r="U7">
        <v>34</v>
      </c>
      <c r="V7">
        <v>35</v>
      </c>
      <c r="W7">
        <v>36</v>
      </c>
      <c r="X7">
        <v>36</v>
      </c>
      <c r="Y7">
        <v>37</v>
      </c>
      <c r="Z7">
        <v>38</v>
      </c>
      <c r="AA7">
        <v>39</v>
      </c>
      <c r="AB7">
        <v>40</v>
      </c>
      <c r="AC7">
        <v>41</v>
      </c>
      <c r="AD7">
        <v>42</v>
      </c>
      <c r="AE7">
        <v>43</v>
      </c>
      <c r="AF7">
        <v>44</v>
      </c>
      <c r="AG7">
        <v>45</v>
      </c>
      <c r="AH7">
        <v>46</v>
      </c>
      <c r="AI7">
        <v>47</v>
      </c>
      <c r="AJ7">
        <v>48</v>
      </c>
    </row>
    <row r="8" spans="1:42" x14ac:dyDescent="0.25">
      <c r="A8" s="24"/>
      <c r="B8">
        <v>94</v>
      </c>
      <c r="C8">
        <v>15</v>
      </c>
      <c r="D8">
        <v>16</v>
      </c>
      <c r="E8">
        <v>17</v>
      </c>
      <c r="F8">
        <v>18</v>
      </c>
      <c r="G8">
        <v>19</v>
      </c>
      <c r="H8">
        <v>20</v>
      </c>
      <c r="I8">
        <v>21</v>
      </c>
      <c r="J8">
        <v>22</v>
      </c>
      <c r="K8">
        <v>23</v>
      </c>
      <c r="L8">
        <v>24</v>
      </c>
      <c r="M8">
        <v>25</v>
      </c>
      <c r="N8">
        <v>26</v>
      </c>
      <c r="O8">
        <v>27</v>
      </c>
      <c r="P8">
        <v>28</v>
      </c>
      <c r="Q8">
        <v>29</v>
      </c>
      <c r="R8">
        <v>30</v>
      </c>
      <c r="S8">
        <v>31</v>
      </c>
      <c r="T8">
        <v>32</v>
      </c>
      <c r="U8">
        <v>33</v>
      </c>
      <c r="V8">
        <v>34</v>
      </c>
      <c r="W8">
        <v>35</v>
      </c>
      <c r="X8">
        <v>36</v>
      </c>
      <c r="Y8">
        <v>37</v>
      </c>
      <c r="Z8">
        <v>38</v>
      </c>
      <c r="AA8">
        <v>39</v>
      </c>
      <c r="AB8">
        <v>40</v>
      </c>
      <c r="AC8">
        <v>41</v>
      </c>
      <c r="AD8">
        <v>42</v>
      </c>
      <c r="AE8">
        <v>43</v>
      </c>
      <c r="AF8">
        <v>44</v>
      </c>
      <c r="AG8">
        <v>45</v>
      </c>
      <c r="AH8">
        <v>46</v>
      </c>
      <c r="AI8">
        <v>47</v>
      </c>
      <c r="AJ8">
        <v>48</v>
      </c>
    </row>
    <row r="9" spans="1:42" x14ac:dyDescent="0.25">
      <c r="A9" s="24"/>
      <c r="B9">
        <v>95</v>
      </c>
      <c r="C9">
        <v>15</v>
      </c>
      <c r="D9">
        <v>16</v>
      </c>
      <c r="E9">
        <v>17</v>
      </c>
      <c r="F9">
        <v>18</v>
      </c>
      <c r="G9">
        <v>19</v>
      </c>
      <c r="H9">
        <v>20</v>
      </c>
      <c r="I9">
        <v>21</v>
      </c>
      <c r="J9">
        <v>22</v>
      </c>
      <c r="K9">
        <v>23</v>
      </c>
      <c r="L9">
        <v>24</v>
      </c>
      <c r="M9">
        <v>25</v>
      </c>
      <c r="N9">
        <v>26</v>
      </c>
      <c r="O9">
        <v>27</v>
      </c>
      <c r="P9">
        <v>28</v>
      </c>
      <c r="Q9">
        <v>29</v>
      </c>
      <c r="R9">
        <v>30</v>
      </c>
      <c r="S9">
        <v>31</v>
      </c>
      <c r="T9">
        <v>32</v>
      </c>
      <c r="U9">
        <v>33</v>
      </c>
      <c r="V9">
        <v>34</v>
      </c>
      <c r="W9">
        <v>35</v>
      </c>
      <c r="X9">
        <v>36</v>
      </c>
      <c r="Y9">
        <v>37</v>
      </c>
      <c r="Z9">
        <v>38</v>
      </c>
      <c r="AA9">
        <v>39</v>
      </c>
      <c r="AB9">
        <v>40</v>
      </c>
      <c r="AC9">
        <v>41</v>
      </c>
      <c r="AD9">
        <v>42</v>
      </c>
      <c r="AE9">
        <v>43</v>
      </c>
      <c r="AF9">
        <v>44</v>
      </c>
      <c r="AG9">
        <v>45</v>
      </c>
      <c r="AH9">
        <v>46</v>
      </c>
      <c r="AI9">
        <v>47</v>
      </c>
      <c r="AJ9">
        <v>48</v>
      </c>
    </row>
    <row r="10" spans="1:42" x14ac:dyDescent="0.25">
      <c r="A10" s="24"/>
      <c r="B10">
        <v>96</v>
      </c>
      <c r="C10">
        <v>15</v>
      </c>
      <c r="D10">
        <v>16</v>
      </c>
      <c r="E10">
        <v>17</v>
      </c>
      <c r="F10">
        <v>18</v>
      </c>
      <c r="G10">
        <v>19</v>
      </c>
      <c r="H10">
        <v>20</v>
      </c>
      <c r="I10">
        <v>21</v>
      </c>
      <c r="J10">
        <v>22</v>
      </c>
      <c r="K10">
        <v>23</v>
      </c>
      <c r="L10">
        <v>24</v>
      </c>
      <c r="M10">
        <v>25</v>
      </c>
      <c r="N10">
        <v>26</v>
      </c>
      <c r="O10">
        <v>27</v>
      </c>
      <c r="P10">
        <v>28</v>
      </c>
      <c r="Q10">
        <v>29</v>
      </c>
      <c r="R10">
        <v>30</v>
      </c>
      <c r="S10">
        <v>31</v>
      </c>
      <c r="T10">
        <v>32</v>
      </c>
      <c r="U10">
        <v>33</v>
      </c>
      <c r="V10">
        <v>34</v>
      </c>
      <c r="W10">
        <v>35</v>
      </c>
      <c r="X10">
        <v>36</v>
      </c>
      <c r="Y10">
        <v>37</v>
      </c>
      <c r="Z10">
        <v>38</v>
      </c>
      <c r="AA10">
        <v>39</v>
      </c>
      <c r="AB10">
        <v>40</v>
      </c>
      <c r="AC10">
        <v>41</v>
      </c>
      <c r="AD10">
        <v>42</v>
      </c>
      <c r="AE10">
        <v>43</v>
      </c>
      <c r="AF10">
        <v>44</v>
      </c>
      <c r="AG10">
        <v>45</v>
      </c>
      <c r="AH10">
        <v>46</v>
      </c>
      <c r="AI10">
        <v>47</v>
      </c>
      <c r="AJ10">
        <v>48</v>
      </c>
    </row>
    <row r="11" spans="1:42" x14ac:dyDescent="0.25">
      <c r="A11" s="24"/>
      <c r="B11">
        <v>97</v>
      </c>
      <c r="C11">
        <v>15</v>
      </c>
      <c r="D11">
        <v>16</v>
      </c>
      <c r="E11">
        <v>17</v>
      </c>
      <c r="F11">
        <v>18</v>
      </c>
      <c r="G11">
        <v>19</v>
      </c>
      <c r="H11">
        <v>20</v>
      </c>
      <c r="I11">
        <v>21</v>
      </c>
      <c r="J11">
        <v>22</v>
      </c>
      <c r="K11">
        <v>23</v>
      </c>
      <c r="L11">
        <v>24</v>
      </c>
      <c r="M11">
        <v>25</v>
      </c>
      <c r="N11">
        <v>26</v>
      </c>
      <c r="O11">
        <v>27</v>
      </c>
      <c r="P11">
        <v>28</v>
      </c>
      <c r="Q11">
        <v>29</v>
      </c>
      <c r="R11">
        <v>30</v>
      </c>
      <c r="S11">
        <v>31</v>
      </c>
      <c r="T11">
        <v>32</v>
      </c>
      <c r="U11">
        <v>33</v>
      </c>
      <c r="V11">
        <v>34</v>
      </c>
      <c r="W11">
        <v>35</v>
      </c>
      <c r="X11">
        <v>36</v>
      </c>
      <c r="Y11">
        <v>37</v>
      </c>
      <c r="Z11">
        <v>38</v>
      </c>
      <c r="AA11">
        <v>39</v>
      </c>
      <c r="AB11">
        <v>40</v>
      </c>
      <c r="AC11">
        <v>41</v>
      </c>
      <c r="AD11">
        <v>42</v>
      </c>
      <c r="AE11">
        <v>43</v>
      </c>
      <c r="AF11">
        <v>44</v>
      </c>
      <c r="AG11">
        <v>45</v>
      </c>
      <c r="AH11">
        <v>46</v>
      </c>
      <c r="AI11">
        <v>47</v>
      </c>
      <c r="AJ11">
        <v>48</v>
      </c>
    </row>
    <row r="12" spans="1:42" x14ac:dyDescent="0.25">
      <c r="A12" s="24"/>
      <c r="B12">
        <v>98</v>
      </c>
      <c r="C12">
        <v>15</v>
      </c>
      <c r="D12">
        <v>16</v>
      </c>
      <c r="E12">
        <v>17</v>
      </c>
      <c r="F12">
        <v>18</v>
      </c>
      <c r="G12">
        <v>19</v>
      </c>
      <c r="H12">
        <v>20</v>
      </c>
      <c r="I12">
        <v>21</v>
      </c>
      <c r="J12">
        <v>22</v>
      </c>
      <c r="K12">
        <v>23</v>
      </c>
      <c r="L12">
        <v>24</v>
      </c>
      <c r="M12">
        <v>25</v>
      </c>
      <c r="N12">
        <v>26</v>
      </c>
      <c r="O12">
        <v>27</v>
      </c>
      <c r="P12">
        <v>28</v>
      </c>
      <c r="Q12">
        <v>29</v>
      </c>
      <c r="R12">
        <v>30</v>
      </c>
      <c r="S12">
        <v>31</v>
      </c>
      <c r="T12">
        <v>32</v>
      </c>
      <c r="U12">
        <v>33</v>
      </c>
      <c r="V12">
        <v>34</v>
      </c>
      <c r="W12">
        <v>35</v>
      </c>
      <c r="X12">
        <v>36</v>
      </c>
      <c r="Y12">
        <v>37</v>
      </c>
      <c r="Z12">
        <v>38</v>
      </c>
      <c r="AA12">
        <v>39</v>
      </c>
      <c r="AB12">
        <v>40</v>
      </c>
      <c r="AC12">
        <v>41</v>
      </c>
      <c r="AD12">
        <v>42</v>
      </c>
      <c r="AE12">
        <v>43</v>
      </c>
      <c r="AF12">
        <v>44</v>
      </c>
      <c r="AG12">
        <v>45</v>
      </c>
      <c r="AH12">
        <v>46</v>
      </c>
      <c r="AI12">
        <v>47</v>
      </c>
      <c r="AJ12">
        <v>48</v>
      </c>
    </row>
    <row r="13" spans="1:42" x14ac:dyDescent="0.25">
      <c r="A13" s="24"/>
      <c r="B13">
        <v>99</v>
      </c>
      <c r="C13">
        <v>15</v>
      </c>
      <c r="D13">
        <v>16</v>
      </c>
      <c r="E13">
        <v>17</v>
      </c>
      <c r="F13">
        <v>18</v>
      </c>
      <c r="G13">
        <v>19</v>
      </c>
      <c r="H13">
        <v>20</v>
      </c>
      <c r="I13">
        <v>21</v>
      </c>
      <c r="J13">
        <v>22</v>
      </c>
      <c r="K13">
        <v>23</v>
      </c>
      <c r="L13">
        <v>24</v>
      </c>
      <c r="M13">
        <v>25</v>
      </c>
      <c r="N13">
        <v>26</v>
      </c>
      <c r="O13">
        <v>27</v>
      </c>
      <c r="P13">
        <v>28</v>
      </c>
      <c r="Q13">
        <v>29</v>
      </c>
      <c r="R13">
        <v>30</v>
      </c>
      <c r="S13">
        <v>31</v>
      </c>
      <c r="T13">
        <v>32</v>
      </c>
      <c r="U13">
        <v>33</v>
      </c>
      <c r="V13">
        <v>34</v>
      </c>
      <c r="W13">
        <v>35</v>
      </c>
      <c r="X13">
        <v>36</v>
      </c>
      <c r="Y13">
        <v>37</v>
      </c>
      <c r="Z13">
        <v>38</v>
      </c>
      <c r="AA13">
        <v>39</v>
      </c>
      <c r="AB13">
        <v>40</v>
      </c>
      <c r="AC13">
        <v>41</v>
      </c>
      <c r="AD13">
        <v>42</v>
      </c>
      <c r="AE13">
        <v>43</v>
      </c>
      <c r="AF13">
        <v>44</v>
      </c>
      <c r="AG13">
        <v>45</v>
      </c>
      <c r="AH13">
        <v>46</v>
      </c>
      <c r="AI13">
        <v>47</v>
      </c>
      <c r="AJ13">
        <v>48</v>
      </c>
    </row>
    <row r="14" spans="1:42" x14ac:dyDescent="0.25">
      <c r="A14" s="24"/>
      <c r="B14">
        <v>100</v>
      </c>
      <c r="C14">
        <v>15</v>
      </c>
      <c r="D14">
        <v>16</v>
      </c>
      <c r="E14">
        <v>17</v>
      </c>
      <c r="F14">
        <v>18</v>
      </c>
      <c r="G14">
        <v>19</v>
      </c>
      <c r="H14">
        <v>20</v>
      </c>
      <c r="I14">
        <v>21</v>
      </c>
      <c r="J14">
        <v>22</v>
      </c>
      <c r="K14">
        <v>23</v>
      </c>
      <c r="L14">
        <v>24</v>
      </c>
      <c r="M14">
        <v>25</v>
      </c>
      <c r="N14">
        <v>26</v>
      </c>
      <c r="O14">
        <v>27</v>
      </c>
      <c r="P14">
        <v>28</v>
      </c>
      <c r="Q14">
        <v>29</v>
      </c>
      <c r="R14">
        <v>30</v>
      </c>
      <c r="S14">
        <v>31</v>
      </c>
      <c r="T14">
        <v>32</v>
      </c>
      <c r="U14">
        <v>33</v>
      </c>
      <c r="V14">
        <v>34</v>
      </c>
      <c r="W14">
        <v>35</v>
      </c>
      <c r="X14">
        <v>36</v>
      </c>
      <c r="Y14">
        <v>37</v>
      </c>
      <c r="Z14">
        <v>38</v>
      </c>
      <c r="AA14">
        <v>39</v>
      </c>
      <c r="AB14">
        <v>40</v>
      </c>
      <c r="AC14">
        <v>41</v>
      </c>
      <c r="AD14">
        <v>42</v>
      </c>
      <c r="AE14">
        <v>43</v>
      </c>
      <c r="AF14">
        <v>44</v>
      </c>
      <c r="AG14">
        <v>45</v>
      </c>
      <c r="AH14">
        <v>46</v>
      </c>
      <c r="AI14">
        <v>47</v>
      </c>
      <c r="AJ14">
        <v>48</v>
      </c>
    </row>
    <row r="15" spans="1:42" x14ac:dyDescent="0.25">
      <c r="A15" s="24"/>
      <c r="B15">
        <v>101</v>
      </c>
      <c r="C15">
        <v>15</v>
      </c>
      <c r="D15">
        <v>16</v>
      </c>
      <c r="E15">
        <v>17</v>
      </c>
      <c r="F15">
        <v>18</v>
      </c>
      <c r="G15">
        <v>19</v>
      </c>
      <c r="H15">
        <v>20</v>
      </c>
      <c r="I15">
        <v>21</v>
      </c>
      <c r="J15">
        <v>22</v>
      </c>
      <c r="K15">
        <v>23</v>
      </c>
      <c r="L15">
        <v>24</v>
      </c>
      <c r="M15">
        <v>25</v>
      </c>
      <c r="N15">
        <v>26</v>
      </c>
      <c r="O15">
        <v>27</v>
      </c>
      <c r="P15">
        <v>28</v>
      </c>
      <c r="Q15">
        <v>29</v>
      </c>
      <c r="R15">
        <v>30</v>
      </c>
      <c r="S15">
        <v>31</v>
      </c>
      <c r="T15">
        <v>32</v>
      </c>
      <c r="U15">
        <v>33</v>
      </c>
      <c r="V15">
        <v>34</v>
      </c>
      <c r="W15">
        <v>35</v>
      </c>
      <c r="X15">
        <v>36</v>
      </c>
      <c r="Y15">
        <v>37</v>
      </c>
      <c r="Z15">
        <v>38</v>
      </c>
      <c r="AA15">
        <v>39</v>
      </c>
      <c r="AB15">
        <v>40</v>
      </c>
      <c r="AC15">
        <v>41</v>
      </c>
      <c r="AD15">
        <v>42</v>
      </c>
      <c r="AE15">
        <v>43</v>
      </c>
      <c r="AF15">
        <v>43</v>
      </c>
      <c r="AG15">
        <v>44</v>
      </c>
      <c r="AH15">
        <v>45</v>
      </c>
      <c r="AI15">
        <v>46</v>
      </c>
      <c r="AJ15">
        <v>47</v>
      </c>
    </row>
    <row r="16" spans="1:42" x14ac:dyDescent="0.25">
      <c r="A16" s="24"/>
      <c r="B16">
        <v>102</v>
      </c>
      <c r="C16">
        <v>15</v>
      </c>
      <c r="D16">
        <v>16</v>
      </c>
      <c r="E16">
        <v>17</v>
      </c>
      <c r="F16">
        <v>18</v>
      </c>
      <c r="G16">
        <v>18</v>
      </c>
      <c r="H16">
        <v>19</v>
      </c>
      <c r="I16">
        <v>20</v>
      </c>
      <c r="J16">
        <v>21</v>
      </c>
      <c r="K16">
        <v>22</v>
      </c>
      <c r="L16">
        <v>23</v>
      </c>
      <c r="M16">
        <v>24</v>
      </c>
      <c r="N16">
        <v>25</v>
      </c>
      <c r="O16">
        <v>26</v>
      </c>
      <c r="P16">
        <v>27</v>
      </c>
      <c r="Q16">
        <v>28</v>
      </c>
      <c r="R16">
        <v>29</v>
      </c>
      <c r="S16">
        <v>30</v>
      </c>
      <c r="T16">
        <v>31</v>
      </c>
      <c r="U16">
        <v>32</v>
      </c>
      <c r="V16">
        <v>33</v>
      </c>
      <c r="W16">
        <v>34</v>
      </c>
      <c r="X16">
        <v>35</v>
      </c>
      <c r="Y16">
        <v>36</v>
      </c>
      <c r="Z16">
        <v>37</v>
      </c>
      <c r="AA16">
        <v>38</v>
      </c>
      <c r="AB16">
        <v>39</v>
      </c>
      <c r="AC16">
        <v>40</v>
      </c>
      <c r="AD16">
        <v>41</v>
      </c>
      <c r="AE16">
        <v>42</v>
      </c>
      <c r="AF16">
        <v>43</v>
      </c>
      <c r="AG16">
        <v>44</v>
      </c>
      <c r="AH16">
        <v>45</v>
      </c>
      <c r="AI16">
        <v>46</v>
      </c>
      <c r="AJ16">
        <v>47</v>
      </c>
    </row>
    <row r="17" spans="1:36" x14ac:dyDescent="0.25">
      <c r="A17" s="24"/>
      <c r="B17">
        <v>103</v>
      </c>
      <c r="C17">
        <v>14</v>
      </c>
      <c r="D17">
        <v>15</v>
      </c>
      <c r="E17">
        <v>16</v>
      </c>
      <c r="F17">
        <v>17</v>
      </c>
      <c r="G17">
        <v>18</v>
      </c>
      <c r="H17">
        <v>19</v>
      </c>
      <c r="I17">
        <v>20</v>
      </c>
      <c r="J17">
        <v>21</v>
      </c>
      <c r="K17">
        <v>22</v>
      </c>
      <c r="L17">
        <v>23</v>
      </c>
      <c r="M17">
        <v>24</v>
      </c>
      <c r="N17">
        <v>25</v>
      </c>
      <c r="O17">
        <v>26</v>
      </c>
      <c r="P17">
        <v>27</v>
      </c>
      <c r="Q17">
        <v>28</v>
      </c>
      <c r="R17">
        <v>29</v>
      </c>
      <c r="S17">
        <v>30</v>
      </c>
      <c r="T17">
        <v>31</v>
      </c>
      <c r="U17">
        <v>32</v>
      </c>
      <c r="V17">
        <v>33</v>
      </c>
      <c r="W17">
        <v>34</v>
      </c>
      <c r="X17">
        <v>35</v>
      </c>
      <c r="Y17">
        <v>36</v>
      </c>
      <c r="Z17">
        <v>37</v>
      </c>
      <c r="AA17">
        <v>38</v>
      </c>
      <c r="AB17">
        <v>39</v>
      </c>
      <c r="AC17">
        <v>40</v>
      </c>
      <c r="AD17">
        <v>41</v>
      </c>
      <c r="AE17">
        <v>42</v>
      </c>
      <c r="AF17">
        <v>43</v>
      </c>
      <c r="AG17">
        <v>44</v>
      </c>
      <c r="AH17">
        <v>45</v>
      </c>
      <c r="AI17">
        <v>46</v>
      </c>
      <c r="AJ17">
        <v>47</v>
      </c>
    </row>
    <row r="18" spans="1:36" x14ac:dyDescent="0.25">
      <c r="A18" s="24"/>
      <c r="B18">
        <v>104</v>
      </c>
      <c r="C18">
        <v>14</v>
      </c>
      <c r="D18">
        <v>15</v>
      </c>
      <c r="E18">
        <v>16</v>
      </c>
      <c r="F18">
        <v>17</v>
      </c>
      <c r="G18">
        <v>18</v>
      </c>
      <c r="H18">
        <v>19</v>
      </c>
      <c r="I18">
        <v>20</v>
      </c>
      <c r="J18">
        <v>21</v>
      </c>
      <c r="K18">
        <v>22</v>
      </c>
      <c r="L18">
        <v>23</v>
      </c>
      <c r="M18">
        <v>24</v>
      </c>
      <c r="N18">
        <v>25</v>
      </c>
      <c r="O18">
        <v>26</v>
      </c>
      <c r="P18">
        <v>27</v>
      </c>
      <c r="Q18">
        <v>28</v>
      </c>
      <c r="R18">
        <v>29</v>
      </c>
      <c r="S18">
        <v>30</v>
      </c>
      <c r="T18">
        <v>31</v>
      </c>
      <c r="U18">
        <v>32</v>
      </c>
      <c r="V18">
        <v>33</v>
      </c>
      <c r="W18">
        <v>34</v>
      </c>
      <c r="X18">
        <v>35</v>
      </c>
      <c r="Y18">
        <v>36</v>
      </c>
      <c r="Z18">
        <v>37</v>
      </c>
      <c r="AA18">
        <v>38</v>
      </c>
      <c r="AB18">
        <v>39</v>
      </c>
      <c r="AC18">
        <v>40</v>
      </c>
      <c r="AD18">
        <v>41</v>
      </c>
      <c r="AE18">
        <v>42</v>
      </c>
      <c r="AF18">
        <v>43</v>
      </c>
      <c r="AG18">
        <v>44</v>
      </c>
      <c r="AH18">
        <v>45</v>
      </c>
      <c r="AI18">
        <v>46</v>
      </c>
      <c r="AJ18">
        <v>47</v>
      </c>
    </row>
    <row r="19" spans="1:36" x14ac:dyDescent="0.25">
      <c r="A19" s="24"/>
      <c r="B19">
        <v>105</v>
      </c>
      <c r="C19">
        <v>14</v>
      </c>
      <c r="D19">
        <v>15</v>
      </c>
      <c r="E19">
        <v>16</v>
      </c>
      <c r="F19">
        <v>17</v>
      </c>
      <c r="G19">
        <v>18</v>
      </c>
      <c r="H19">
        <v>19</v>
      </c>
      <c r="I19">
        <v>20</v>
      </c>
      <c r="J19">
        <v>21</v>
      </c>
      <c r="K19">
        <v>22</v>
      </c>
      <c r="L19">
        <v>23</v>
      </c>
      <c r="M19">
        <v>24</v>
      </c>
      <c r="N19">
        <v>25</v>
      </c>
      <c r="O19">
        <v>26</v>
      </c>
      <c r="P19">
        <v>27</v>
      </c>
      <c r="Q19">
        <v>28</v>
      </c>
      <c r="R19">
        <v>29</v>
      </c>
      <c r="S19">
        <v>30</v>
      </c>
      <c r="T19">
        <v>31</v>
      </c>
      <c r="U19">
        <v>32</v>
      </c>
      <c r="V19">
        <v>33</v>
      </c>
      <c r="W19">
        <v>34</v>
      </c>
      <c r="X19">
        <v>35</v>
      </c>
      <c r="Y19">
        <v>36</v>
      </c>
      <c r="Z19">
        <v>37</v>
      </c>
      <c r="AA19">
        <v>38</v>
      </c>
      <c r="AB19">
        <v>39</v>
      </c>
      <c r="AC19">
        <v>40</v>
      </c>
      <c r="AD19">
        <v>41</v>
      </c>
      <c r="AE19">
        <v>42</v>
      </c>
      <c r="AF19">
        <v>43</v>
      </c>
      <c r="AG19">
        <v>44</v>
      </c>
      <c r="AH19">
        <v>45</v>
      </c>
      <c r="AI19">
        <v>46</v>
      </c>
      <c r="AJ19">
        <v>47</v>
      </c>
    </row>
    <row r="20" spans="1:36" x14ac:dyDescent="0.25">
      <c r="A20" s="24"/>
      <c r="B20">
        <v>106</v>
      </c>
      <c r="C20">
        <v>14</v>
      </c>
      <c r="D20">
        <v>15</v>
      </c>
      <c r="E20">
        <v>16</v>
      </c>
      <c r="F20">
        <v>17</v>
      </c>
      <c r="G20">
        <v>18</v>
      </c>
      <c r="H20">
        <v>19</v>
      </c>
      <c r="I20">
        <v>20</v>
      </c>
      <c r="J20">
        <v>21</v>
      </c>
      <c r="K20">
        <v>22</v>
      </c>
      <c r="L20">
        <v>23</v>
      </c>
      <c r="M20">
        <v>24</v>
      </c>
      <c r="N20">
        <v>25</v>
      </c>
      <c r="O20">
        <v>26</v>
      </c>
      <c r="P20">
        <v>27</v>
      </c>
      <c r="Q20">
        <v>28</v>
      </c>
      <c r="R20">
        <v>29</v>
      </c>
      <c r="S20">
        <v>30</v>
      </c>
      <c r="T20">
        <v>31</v>
      </c>
      <c r="U20">
        <v>32</v>
      </c>
      <c r="V20">
        <v>33</v>
      </c>
      <c r="W20">
        <v>34</v>
      </c>
      <c r="X20">
        <v>35</v>
      </c>
      <c r="Y20">
        <v>36</v>
      </c>
      <c r="Z20">
        <v>37</v>
      </c>
      <c r="AA20">
        <v>38</v>
      </c>
      <c r="AB20">
        <v>39</v>
      </c>
      <c r="AC20">
        <v>40</v>
      </c>
      <c r="AD20">
        <v>41</v>
      </c>
      <c r="AE20">
        <v>42</v>
      </c>
      <c r="AF20">
        <v>43</v>
      </c>
      <c r="AG20">
        <v>44</v>
      </c>
      <c r="AH20">
        <v>45</v>
      </c>
      <c r="AI20">
        <v>46</v>
      </c>
      <c r="AJ20">
        <v>47</v>
      </c>
    </row>
    <row r="21" spans="1:36" x14ac:dyDescent="0.25">
      <c r="A21" s="24"/>
      <c r="B21">
        <v>107</v>
      </c>
      <c r="C21">
        <v>14</v>
      </c>
      <c r="D21">
        <v>15</v>
      </c>
      <c r="E21">
        <v>16</v>
      </c>
      <c r="F21">
        <v>17</v>
      </c>
      <c r="G21">
        <v>18</v>
      </c>
      <c r="H21">
        <v>19</v>
      </c>
      <c r="I21">
        <v>20</v>
      </c>
      <c r="J21">
        <v>21</v>
      </c>
      <c r="K21">
        <v>22</v>
      </c>
      <c r="L21">
        <v>23</v>
      </c>
      <c r="M21">
        <v>24</v>
      </c>
      <c r="N21">
        <v>25</v>
      </c>
      <c r="O21">
        <v>26</v>
      </c>
      <c r="P21">
        <v>27</v>
      </c>
      <c r="Q21">
        <v>28</v>
      </c>
      <c r="R21">
        <v>29</v>
      </c>
      <c r="S21">
        <v>30</v>
      </c>
      <c r="T21">
        <v>31</v>
      </c>
      <c r="U21">
        <v>32</v>
      </c>
      <c r="V21">
        <v>33</v>
      </c>
      <c r="W21">
        <v>34</v>
      </c>
      <c r="X21">
        <v>35</v>
      </c>
      <c r="Y21">
        <v>36</v>
      </c>
      <c r="Z21">
        <v>37</v>
      </c>
      <c r="AA21">
        <v>38</v>
      </c>
      <c r="AB21">
        <v>39</v>
      </c>
      <c r="AC21">
        <v>40</v>
      </c>
      <c r="AD21">
        <v>41</v>
      </c>
      <c r="AE21">
        <v>42</v>
      </c>
      <c r="AF21">
        <v>43</v>
      </c>
      <c r="AG21">
        <v>44</v>
      </c>
      <c r="AH21">
        <v>45</v>
      </c>
      <c r="AI21">
        <v>46</v>
      </c>
      <c r="AJ21">
        <v>47</v>
      </c>
    </row>
    <row r="22" spans="1:36" x14ac:dyDescent="0.25">
      <c r="A22" s="24"/>
      <c r="B22">
        <v>108</v>
      </c>
      <c r="C22">
        <v>14</v>
      </c>
      <c r="D22">
        <v>15</v>
      </c>
      <c r="E22">
        <v>16</v>
      </c>
      <c r="F22">
        <v>17</v>
      </c>
      <c r="G22">
        <v>18</v>
      </c>
      <c r="H22">
        <v>19</v>
      </c>
      <c r="I22">
        <v>20</v>
      </c>
      <c r="J22">
        <v>21</v>
      </c>
      <c r="K22">
        <v>22</v>
      </c>
      <c r="L22">
        <v>23</v>
      </c>
      <c r="M22">
        <v>24</v>
      </c>
      <c r="N22">
        <v>25</v>
      </c>
      <c r="O22">
        <v>26</v>
      </c>
      <c r="P22">
        <v>27</v>
      </c>
      <c r="Q22">
        <v>28</v>
      </c>
      <c r="R22">
        <v>29</v>
      </c>
      <c r="S22">
        <v>30</v>
      </c>
      <c r="T22">
        <v>31</v>
      </c>
      <c r="U22">
        <v>32</v>
      </c>
      <c r="V22">
        <v>33</v>
      </c>
      <c r="W22">
        <v>34</v>
      </c>
      <c r="X22">
        <v>35</v>
      </c>
      <c r="Y22">
        <v>36</v>
      </c>
      <c r="Z22">
        <v>37</v>
      </c>
      <c r="AA22">
        <v>38</v>
      </c>
      <c r="AB22">
        <v>39</v>
      </c>
      <c r="AC22">
        <v>40</v>
      </c>
      <c r="AD22">
        <v>41</v>
      </c>
      <c r="AE22">
        <v>42</v>
      </c>
      <c r="AF22">
        <v>43</v>
      </c>
      <c r="AG22">
        <v>44</v>
      </c>
      <c r="AH22">
        <v>45</v>
      </c>
      <c r="AI22">
        <v>46</v>
      </c>
      <c r="AJ22">
        <v>47</v>
      </c>
    </row>
    <row r="23" spans="1:36" x14ac:dyDescent="0.25">
      <c r="A23" s="24"/>
      <c r="B23">
        <v>109</v>
      </c>
      <c r="C23">
        <v>14</v>
      </c>
      <c r="D23">
        <v>15</v>
      </c>
      <c r="E23">
        <v>16</v>
      </c>
      <c r="F23">
        <v>17</v>
      </c>
      <c r="G23">
        <v>18</v>
      </c>
      <c r="H23">
        <v>19</v>
      </c>
      <c r="I23">
        <v>20</v>
      </c>
      <c r="J23">
        <v>21</v>
      </c>
      <c r="K23">
        <v>22</v>
      </c>
      <c r="L23">
        <v>23</v>
      </c>
      <c r="M23">
        <v>24</v>
      </c>
      <c r="N23">
        <v>25</v>
      </c>
      <c r="O23">
        <v>26</v>
      </c>
      <c r="P23">
        <v>27</v>
      </c>
      <c r="Q23">
        <v>28</v>
      </c>
      <c r="R23">
        <v>29</v>
      </c>
      <c r="S23">
        <v>30</v>
      </c>
      <c r="T23">
        <v>31</v>
      </c>
      <c r="U23">
        <v>32</v>
      </c>
      <c r="V23">
        <v>33</v>
      </c>
      <c r="W23">
        <v>34</v>
      </c>
      <c r="X23">
        <v>35</v>
      </c>
      <c r="Y23">
        <v>36</v>
      </c>
      <c r="Z23">
        <v>37</v>
      </c>
      <c r="AA23">
        <v>38</v>
      </c>
      <c r="AB23">
        <v>39</v>
      </c>
      <c r="AC23">
        <v>40</v>
      </c>
      <c r="AD23">
        <v>41</v>
      </c>
      <c r="AE23">
        <v>42</v>
      </c>
      <c r="AF23">
        <v>43</v>
      </c>
      <c r="AG23">
        <v>44</v>
      </c>
      <c r="AH23">
        <v>45</v>
      </c>
      <c r="AI23">
        <v>46</v>
      </c>
      <c r="AJ23">
        <v>47</v>
      </c>
    </row>
    <row r="24" spans="1:36" x14ac:dyDescent="0.25">
      <c r="A24" s="24"/>
      <c r="B24">
        <v>110</v>
      </c>
      <c r="C24">
        <v>14</v>
      </c>
      <c r="D24">
        <v>15</v>
      </c>
      <c r="E24">
        <v>16</v>
      </c>
      <c r="F24">
        <v>17</v>
      </c>
      <c r="G24">
        <v>18</v>
      </c>
      <c r="H24">
        <v>19</v>
      </c>
      <c r="I24">
        <v>20</v>
      </c>
      <c r="J24">
        <v>21</v>
      </c>
      <c r="K24">
        <v>22</v>
      </c>
      <c r="L24">
        <v>23</v>
      </c>
      <c r="M24">
        <v>24</v>
      </c>
      <c r="N24">
        <v>25</v>
      </c>
      <c r="O24">
        <v>26</v>
      </c>
      <c r="P24">
        <v>26</v>
      </c>
      <c r="Q24">
        <v>27</v>
      </c>
      <c r="R24">
        <v>28</v>
      </c>
      <c r="S24">
        <v>29</v>
      </c>
      <c r="T24">
        <v>30</v>
      </c>
      <c r="U24">
        <v>31</v>
      </c>
      <c r="V24">
        <v>32</v>
      </c>
      <c r="W24">
        <v>33</v>
      </c>
      <c r="X24">
        <v>34</v>
      </c>
      <c r="Y24">
        <v>35</v>
      </c>
      <c r="Z24">
        <v>36</v>
      </c>
      <c r="AA24">
        <v>37</v>
      </c>
      <c r="AB24">
        <v>38</v>
      </c>
      <c r="AC24">
        <v>39</v>
      </c>
      <c r="AD24">
        <v>40</v>
      </c>
      <c r="AE24">
        <v>41</v>
      </c>
      <c r="AF24">
        <v>42</v>
      </c>
      <c r="AG24">
        <v>43</v>
      </c>
      <c r="AH24">
        <v>44</v>
      </c>
      <c r="AI24">
        <v>45</v>
      </c>
      <c r="AJ24">
        <v>46</v>
      </c>
    </row>
    <row r="25" spans="1:36" x14ac:dyDescent="0.25">
      <c r="A25" s="24"/>
      <c r="B25">
        <v>111</v>
      </c>
      <c r="C25">
        <v>13</v>
      </c>
      <c r="D25">
        <v>14</v>
      </c>
      <c r="E25">
        <v>15</v>
      </c>
      <c r="F25">
        <v>16</v>
      </c>
      <c r="G25">
        <v>17</v>
      </c>
      <c r="H25">
        <v>18</v>
      </c>
      <c r="I25">
        <v>19</v>
      </c>
      <c r="J25">
        <v>20</v>
      </c>
      <c r="K25">
        <v>21</v>
      </c>
      <c r="L25">
        <v>22</v>
      </c>
      <c r="M25">
        <v>23</v>
      </c>
      <c r="N25">
        <v>24</v>
      </c>
      <c r="O25">
        <v>25</v>
      </c>
      <c r="P25">
        <v>26</v>
      </c>
      <c r="Q25">
        <v>27</v>
      </c>
      <c r="R25">
        <v>28</v>
      </c>
      <c r="S25">
        <v>29</v>
      </c>
      <c r="T25">
        <v>30</v>
      </c>
      <c r="U25">
        <v>31</v>
      </c>
      <c r="V25">
        <v>32</v>
      </c>
      <c r="W25">
        <v>33</v>
      </c>
      <c r="X25">
        <v>34</v>
      </c>
      <c r="Y25">
        <v>35</v>
      </c>
      <c r="Z25">
        <v>36</v>
      </c>
      <c r="AA25">
        <v>37</v>
      </c>
      <c r="AB25">
        <v>38</v>
      </c>
      <c r="AC25">
        <v>39</v>
      </c>
      <c r="AD25">
        <v>40</v>
      </c>
      <c r="AE25">
        <v>41</v>
      </c>
      <c r="AF25">
        <v>42</v>
      </c>
      <c r="AG25">
        <v>43</v>
      </c>
      <c r="AH25">
        <v>44</v>
      </c>
      <c r="AI25">
        <v>45</v>
      </c>
      <c r="AJ25">
        <v>46</v>
      </c>
    </row>
    <row r="26" spans="1:36" x14ac:dyDescent="0.25">
      <c r="A26" s="24"/>
      <c r="B26">
        <v>112</v>
      </c>
      <c r="C26">
        <v>13</v>
      </c>
      <c r="D26">
        <v>14</v>
      </c>
      <c r="E26">
        <v>15</v>
      </c>
      <c r="F26">
        <v>16</v>
      </c>
      <c r="G26">
        <v>17</v>
      </c>
      <c r="H26">
        <v>18</v>
      </c>
      <c r="I26">
        <v>19</v>
      </c>
      <c r="J26">
        <v>20</v>
      </c>
      <c r="K26">
        <v>21</v>
      </c>
      <c r="L26">
        <v>22</v>
      </c>
      <c r="M26">
        <v>23</v>
      </c>
      <c r="N26">
        <v>24</v>
      </c>
      <c r="O26">
        <v>25</v>
      </c>
      <c r="P26">
        <v>26</v>
      </c>
      <c r="Q26">
        <v>27</v>
      </c>
      <c r="R26">
        <v>28</v>
      </c>
      <c r="S26">
        <v>29</v>
      </c>
      <c r="T26">
        <v>30</v>
      </c>
      <c r="U26">
        <v>31</v>
      </c>
      <c r="V26">
        <v>32</v>
      </c>
      <c r="W26">
        <v>33</v>
      </c>
      <c r="X26">
        <v>34</v>
      </c>
      <c r="Y26">
        <v>35</v>
      </c>
      <c r="Z26">
        <v>36</v>
      </c>
      <c r="AA26">
        <v>37</v>
      </c>
      <c r="AB26">
        <v>38</v>
      </c>
      <c r="AC26">
        <v>39</v>
      </c>
      <c r="AD26">
        <v>40</v>
      </c>
      <c r="AE26">
        <v>41</v>
      </c>
      <c r="AF26">
        <v>42</v>
      </c>
      <c r="AG26">
        <v>43</v>
      </c>
      <c r="AH26">
        <v>44</v>
      </c>
      <c r="AI26">
        <v>45</v>
      </c>
      <c r="AJ26">
        <v>46</v>
      </c>
    </row>
    <row r="27" spans="1:36" x14ac:dyDescent="0.25">
      <c r="A27" s="24"/>
      <c r="B27">
        <v>113</v>
      </c>
      <c r="C27">
        <v>13</v>
      </c>
      <c r="D27">
        <v>14</v>
      </c>
      <c r="E27">
        <v>15</v>
      </c>
      <c r="F27">
        <v>16</v>
      </c>
      <c r="G27">
        <v>17</v>
      </c>
      <c r="H27">
        <v>18</v>
      </c>
      <c r="I27">
        <v>19</v>
      </c>
      <c r="J27">
        <v>20</v>
      </c>
      <c r="K27">
        <v>21</v>
      </c>
      <c r="L27">
        <v>22</v>
      </c>
      <c r="M27">
        <v>23</v>
      </c>
      <c r="N27">
        <v>24</v>
      </c>
      <c r="O27">
        <v>25</v>
      </c>
      <c r="P27">
        <v>26</v>
      </c>
      <c r="Q27">
        <v>27</v>
      </c>
      <c r="R27">
        <v>28</v>
      </c>
      <c r="S27">
        <v>29</v>
      </c>
      <c r="T27">
        <v>30</v>
      </c>
      <c r="U27">
        <v>31</v>
      </c>
      <c r="V27">
        <v>32</v>
      </c>
      <c r="W27">
        <v>33</v>
      </c>
      <c r="X27">
        <v>34</v>
      </c>
      <c r="Y27">
        <v>35</v>
      </c>
      <c r="Z27">
        <v>36</v>
      </c>
      <c r="AA27">
        <v>37</v>
      </c>
      <c r="AB27">
        <v>38</v>
      </c>
      <c r="AC27">
        <v>39</v>
      </c>
      <c r="AD27">
        <v>40</v>
      </c>
      <c r="AE27">
        <v>41</v>
      </c>
      <c r="AF27">
        <v>42</v>
      </c>
      <c r="AG27">
        <v>43</v>
      </c>
      <c r="AH27">
        <v>44</v>
      </c>
      <c r="AI27">
        <v>45</v>
      </c>
      <c r="AJ27">
        <v>46</v>
      </c>
    </row>
    <row r="28" spans="1:36" x14ac:dyDescent="0.25">
      <c r="A28" s="24"/>
      <c r="B28">
        <v>114</v>
      </c>
      <c r="C28">
        <v>13</v>
      </c>
      <c r="D28">
        <v>14</v>
      </c>
      <c r="E28">
        <v>15</v>
      </c>
      <c r="F28">
        <v>16</v>
      </c>
      <c r="G28">
        <v>17</v>
      </c>
      <c r="H28">
        <v>18</v>
      </c>
      <c r="I28">
        <v>19</v>
      </c>
      <c r="J28">
        <v>20</v>
      </c>
      <c r="K28">
        <v>21</v>
      </c>
      <c r="L28">
        <v>22</v>
      </c>
      <c r="M28">
        <v>23</v>
      </c>
      <c r="N28">
        <v>24</v>
      </c>
      <c r="O28">
        <v>25</v>
      </c>
      <c r="P28">
        <v>26</v>
      </c>
      <c r="Q28">
        <v>27</v>
      </c>
      <c r="R28">
        <v>28</v>
      </c>
      <c r="S28">
        <v>29</v>
      </c>
      <c r="T28">
        <v>30</v>
      </c>
      <c r="U28">
        <v>31</v>
      </c>
      <c r="V28">
        <v>32</v>
      </c>
      <c r="W28">
        <v>33</v>
      </c>
      <c r="X28">
        <v>34</v>
      </c>
      <c r="Y28">
        <v>35</v>
      </c>
      <c r="Z28">
        <v>36</v>
      </c>
      <c r="AA28">
        <v>37</v>
      </c>
      <c r="AB28">
        <v>38</v>
      </c>
      <c r="AC28">
        <v>39</v>
      </c>
      <c r="AD28">
        <v>40</v>
      </c>
      <c r="AE28">
        <v>41</v>
      </c>
      <c r="AF28">
        <v>42</v>
      </c>
      <c r="AG28">
        <v>43</v>
      </c>
      <c r="AH28">
        <v>44</v>
      </c>
      <c r="AI28">
        <v>45</v>
      </c>
      <c r="AJ28">
        <v>46</v>
      </c>
    </row>
    <row r="29" spans="1:36" x14ac:dyDescent="0.25">
      <c r="A29" s="24"/>
      <c r="B29">
        <v>115</v>
      </c>
      <c r="C29">
        <v>13</v>
      </c>
      <c r="D29">
        <v>14</v>
      </c>
      <c r="E29">
        <v>15</v>
      </c>
      <c r="F29">
        <v>16</v>
      </c>
      <c r="G29">
        <v>17</v>
      </c>
      <c r="H29">
        <v>18</v>
      </c>
      <c r="I29">
        <v>19</v>
      </c>
      <c r="J29">
        <v>20</v>
      </c>
      <c r="K29">
        <v>21</v>
      </c>
      <c r="L29">
        <v>22</v>
      </c>
      <c r="M29">
        <v>23</v>
      </c>
      <c r="N29">
        <v>24</v>
      </c>
      <c r="O29">
        <v>25</v>
      </c>
      <c r="P29">
        <v>26</v>
      </c>
      <c r="Q29">
        <v>27</v>
      </c>
      <c r="R29">
        <v>28</v>
      </c>
      <c r="S29">
        <v>29</v>
      </c>
      <c r="T29">
        <v>30</v>
      </c>
      <c r="U29">
        <v>31</v>
      </c>
      <c r="V29">
        <v>32</v>
      </c>
      <c r="W29">
        <v>33</v>
      </c>
      <c r="X29">
        <v>34</v>
      </c>
      <c r="Y29">
        <v>35</v>
      </c>
      <c r="Z29">
        <v>36</v>
      </c>
      <c r="AA29">
        <v>37</v>
      </c>
      <c r="AB29">
        <v>38</v>
      </c>
      <c r="AC29">
        <v>39</v>
      </c>
      <c r="AD29">
        <v>40</v>
      </c>
      <c r="AE29">
        <v>41</v>
      </c>
      <c r="AF29">
        <v>42</v>
      </c>
      <c r="AG29">
        <v>43</v>
      </c>
      <c r="AH29">
        <v>44</v>
      </c>
      <c r="AI29">
        <v>45</v>
      </c>
      <c r="AJ29">
        <v>46</v>
      </c>
    </row>
    <row r="30" spans="1:36" x14ac:dyDescent="0.25">
      <c r="A30" s="24"/>
      <c r="B30">
        <v>116</v>
      </c>
      <c r="C30">
        <v>13</v>
      </c>
      <c r="D30">
        <v>14</v>
      </c>
      <c r="E30">
        <v>15</v>
      </c>
      <c r="F30">
        <v>16</v>
      </c>
      <c r="G30">
        <v>17</v>
      </c>
      <c r="H30">
        <v>18</v>
      </c>
      <c r="I30">
        <v>19</v>
      </c>
      <c r="J30">
        <v>20</v>
      </c>
      <c r="K30">
        <v>21</v>
      </c>
      <c r="L30">
        <v>22</v>
      </c>
      <c r="M30">
        <v>23</v>
      </c>
      <c r="N30">
        <v>24</v>
      </c>
      <c r="O30">
        <v>25</v>
      </c>
      <c r="P30">
        <v>26</v>
      </c>
      <c r="Q30">
        <v>27</v>
      </c>
      <c r="R30">
        <v>28</v>
      </c>
      <c r="S30">
        <v>29</v>
      </c>
      <c r="T30">
        <v>30</v>
      </c>
      <c r="U30">
        <v>31</v>
      </c>
      <c r="V30">
        <v>32</v>
      </c>
      <c r="W30">
        <v>33</v>
      </c>
      <c r="X30">
        <v>34</v>
      </c>
      <c r="Y30">
        <v>35</v>
      </c>
      <c r="Z30">
        <v>36</v>
      </c>
      <c r="AA30">
        <v>37</v>
      </c>
      <c r="AB30">
        <v>38</v>
      </c>
      <c r="AC30">
        <v>39</v>
      </c>
      <c r="AD30">
        <v>40</v>
      </c>
      <c r="AE30">
        <v>41</v>
      </c>
      <c r="AF30">
        <v>42</v>
      </c>
      <c r="AG30">
        <v>43</v>
      </c>
      <c r="AH30">
        <v>44</v>
      </c>
      <c r="AI30">
        <v>45</v>
      </c>
      <c r="AJ30">
        <v>46</v>
      </c>
    </row>
    <row r="31" spans="1:36" x14ac:dyDescent="0.25">
      <c r="A31" s="24"/>
      <c r="B31">
        <v>117</v>
      </c>
      <c r="C31">
        <v>13</v>
      </c>
      <c r="D31">
        <v>14</v>
      </c>
      <c r="E31">
        <v>15</v>
      </c>
      <c r="F31">
        <v>16</v>
      </c>
      <c r="G31">
        <v>17</v>
      </c>
      <c r="H31">
        <v>18</v>
      </c>
      <c r="I31">
        <v>19</v>
      </c>
      <c r="J31">
        <v>20</v>
      </c>
      <c r="K31">
        <v>21</v>
      </c>
      <c r="L31">
        <v>22</v>
      </c>
      <c r="M31">
        <v>23</v>
      </c>
      <c r="N31">
        <v>24</v>
      </c>
      <c r="O31">
        <v>25</v>
      </c>
      <c r="P31">
        <v>26</v>
      </c>
      <c r="Q31">
        <v>27</v>
      </c>
      <c r="R31">
        <v>28</v>
      </c>
      <c r="S31">
        <v>29</v>
      </c>
      <c r="T31">
        <v>30</v>
      </c>
      <c r="U31">
        <v>31</v>
      </c>
      <c r="V31">
        <v>32</v>
      </c>
      <c r="W31">
        <v>33</v>
      </c>
      <c r="X31">
        <v>34</v>
      </c>
      <c r="Y31">
        <v>35</v>
      </c>
      <c r="Z31">
        <v>36</v>
      </c>
      <c r="AA31">
        <v>37</v>
      </c>
      <c r="AB31">
        <v>38</v>
      </c>
      <c r="AC31">
        <v>39</v>
      </c>
      <c r="AD31">
        <v>40</v>
      </c>
      <c r="AE31">
        <v>41</v>
      </c>
      <c r="AF31">
        <v>42</v>
      </c>
      <c r="AG31">
        <v>43</v>
      </c>
      <c r="AH31">
        <v>44</v>
      </c>
      <c r="AI31">
        <v>45</v>
      </c>
      <c r="AJ31">
        <v>46</v>
      </c>
    </row>
    <row r="32" spans="1:36" x14ac:dyDescent="0.25">
      <c r="A32" s="24"/>
      <c r="B32">
        <v>118</v>
      </c>
      <c r="C32">
        <v>13</v>
      </c>
      <c r="D32">
        <v>14</v>
      </c>
      <c r="E32">
        <v>15</v>
      </c>
      <c r="F32">
        <v>16</v>
      </c>
      <c r="G32">
        <v>17</v>
      </c>
      <c r="H32">
        <v>18</v>
      </c>
      <c r="I32">
        <v>19</v>
      </c>
      <c r="J32">
        <v>20</v>
      </c>
      <c r="K32">
        <v>21</v>
      </c>
      <c r="L32">
        <v>22</v>
      </c>
      <c r="M32">
        <v>23</v>
      </c>
      <c r="N32">
        <v>24</v>
      </c>
      <c r="O32">
        <v>25</v>
      </c>
      <c r="P32">
        <v>26</v>
      </c>
      <c r="Q32">
        <v>27</v>
      </c>
      <c r="R32">
        <v>28</v>
      </c>
      <c r="S32">
        <v>29</v>
      </c>
      <c r="T32">
        <v>30</v>
      </c>
      <c r="U32">
        <v>31</v>
      </c>
      <c r="V32">
        <v>32</v>
      </c>
      <c r="W32">
        <v>32</v>
      </c>
      <c r="X32">
        <v>33</v>
      </c>
      <c r="Y32">
        <v>34</v>
      </c>
      <c r="Z32">
        <v>35</v>
      </c>
      <c r="AA32">
        <v>36</v>
      </c>
      <c r="AB32">
        <v>37</v>
      </c>
      <c r="AC32">
        <v>38</v>
      </c>
      <c r="AD32">
        <v>39</v>
      </c>
      <c r="AE32">
        <v>40</v>
      </c>
      <c r="AF32">
        <v>41</v>
      </c>
      <c r="AG32">
        <v>42</v>
      </c>
      <c r="AH32">
        <v>43</v>
      </c>
      <c r="AI32">
        <v>44</v>
      </c>
      <c r="AJ32">
        <v>45</v>
      </c>
    </row>
    <row r="33" spans="1:36" x14ac:dyDescent="0.25">
      <c r="A33" s="24"/>
      <c r="B33">
        <v>119</v>
      </c>
      <c r="C33">
        <v>12</v>
      </c>
      <c r="D33">
        <v>13</v>
      </c>
      <c r="E33">
        <v>14</v>
      </c>
      <c r="F33">
        <v>15</v>
      </c>
      <c r="G33">
        <v>16</v>
      </c>
      <c r="H33">
        <v>17</v>
      </c>
      <c r="I33">
        <v>18</v>
      </c>
      <c r="J33">
        <v>19</v>
      </c>
      <c r="K33">
        <v>20</v>
      </c>
      <c r="L33">
        <v>21</v>
      </c>
      <c r="M33">
        <v>22</v>
      </c>
      <c r="N33">
        <v>23</v>
      </c>
      <c r="O33">
        <v>24</v>
      </c>
      <c r="P33">
        <v>25</v>
      </c>
      <c r="Q33">
        <v>26</v>
      </c>
      <c r="R33">
        <v>27</v>
      </c>
      <c r="S33">
        <v>28</v>
      </c>
      <c r="T33">
        <v>29</v>
      </c>
      <c r="U33">
        <v>30</v>
      </c>
      <c r="V33">
        <v>31</v>
      </c>
      <c r="W33">
        <v>32</v>
      </c>
      <c r="X33">
        <v>33</v>
      </c>
      <c r="Y33">
        <v>34</v>
      </c>
      <c r="Z33">
        <v>35</v>
      </c>
      <c r="AA33">
        <v>36</v>
      </c>
      <c r="AB33">
        <v>37</v>
      </c>
      <c r="AC33">
        <v>38</v>
      </c>
      <c r="AD33">
        <v>39</v>
      </c>
      <c r="AE33">
        <v>40</v>
      </c>
      <c r="AF33">
        <v>41</v>
      </c>
      <c r="AG33">
        <v>42</v>
      </c>
      <c r="AH33">
        <v>43</v>
      </c>
      <c r="AI33">
        <v>44</v>
      </c>
      <c r="AJ33">
        <v>45</v>
      </c>
    </row>
    <row r="34" spans="1:36" x14ac:dyDescent="0.25">
      <c r="A34" s="24"/>
      <c r="B34">
        <v>120</v>
      </c>
      <c r="C34">
        <v>12</v>
      </c>
      <c r="D34">
        <v>13</v>
      </c>
      <c r="E34">
        <v>14</v>
      </c>
      <c r="F34">
        <v>15</v>
      </c>
      <c r="G34">
        <v>16</v>
      </c>
      <c r="H34">
        <v>17</v>
      </c>
      <c r="I34">
        <v>18</v>
      </c>
      <c r="J34">
        <v>19</v>
      </c>
      <c r="K34">
        <v>20</v>
      </c>
      <c r="L34">
        <v>21</v>
      </c>
      <c r="M34">
        <v>22</v>
      </c>
      <c r="N34">
        <v>23</v>
      </c>
      <c r="O34">
        <v>24</v>
      </c>
      <c r="P34">
        <v>25</v>
      </c>
      <c r="Q34">
        <v>26</v>
      </c>
      <c r="R34">
        <v>27</v>
      </c>
      <c r="S34">
        <v>28</v>
      </c>
      <c r="T34">
        <v>29</v>
      </c>
      <c r="U34">
        <v>30</v>
      </c>
      <c r="V34">
        <v>31</v>
      </c>
      <c r="W34">
        <v>32</v>
      </c>
      <c r="X34">
        <v>33</v>
      </c>
      <c r="Y34">
        <v>34</v>
      </c>
      <c r="Z34">
        <v>35</v>
      </c>
      <c r="AA34">
        <v>36</v>
      </c>
      <c r="AB34">
        <v>37</v>
      </c>
      <c r="AC34">
        <v>38</v>
      </c>
      <c r="AD34">
        <v>39</v>
      </c>
      <c r="AE34">
        <v>40</v>
      </c>
      <c r="AF34">
        <v>41</v>
      </c>
      <c r="AG34">
        <v>42</v>
      </c>
      <c r="AH34">
        <v>43</v>
      </c>
      <c r="AI34">
        <v>44</v>
      </c>
      <c r="AJ34">
        <v>45</v>
      </c>
    </row>
    <row r="35" spans="1:36" x14ac:dyDescent="0.25">
      <c r="A35" s="24"/>
      <c r="B35">
        <v>121</v>
      </c>
      <c r="C35">
        <v>12</v>
      </c>
      <c r="D35">
        <v>13</v>
      </c>
      <c r="E35">
        <v>14</v>
      </c>
      <c r="F35">
        <v>15</v>
      </c>
      <c r="G35">
        <v>16</v>
      </c>
      <c r="H35">
        <v>17</v>
      </c>
      <c r="I35">
        <v>18</v>
      </c>
      <c r="J35">
        <v>19</v>
      </c>
      <c r="K35">
        <v>20</v>
      </c>
      <c r="L35">
        <v>21</v>
      </c>
      <c r="M35">
        <v>22</v>
      </c>
      <c r="N35">
        <v>23</v>
      </c>
      <c r="O35">
        <v>24</v>
      </c>
      <c r="P35">
        <v>25</v>
      </c>
      <c r="Q35">
        <v>26</v>
      </c>
      <c r="R35">
        <v>27</v>
      </c>
      <c r="S35">
        <v>28</v>
      </c>
      <c r="T35">
        <v>29</v>
      </c>
      <c r="U35">
        <v>30</v>
      </c>
      <c r="V35">
        <v>31</v>
      </c>
      <c r="W35">
        <v>32</v>
      </c>
      <c r="X35">
        <v>33</v>
      </c>
      <c r="Y35">
        <v>34</v>
      </c>
      <c r="Z35">
        <v>35</v>
      </c>
      <c r="AA35">
        <v>36</v>
      </c>
      <c r="AB35">
        <v>37</v>
      </c>
      <c r="AC35">
        <v>38</v>
      </c>
      <c r="AD35">
        <v>39</v>
      </c>
      <c r="AE35">
        <v>40</v>
      </c>
      <c r="AF35">
        <v>41</v>
      </c>
      <c r="AG35">
        <v>42</v>
      </c>
      <c r="AH35">
        <v>43</v>
      </c>
      <c r="AI35">
        <v>44</v>
      </c>
      <c r="AJ35">
        <v>45</v>
      </c>
    </row>
    <row r="36" spans="1:36" x14ac:dyDescent="0.25">
      <c r="A36" s="24"/>
      <c r="B36">
        <v>122</v>
      </c>
      <c r="C36">
        <v>12</v>
      </c>
      <c r="D36">
        <v>13</v>
      </c>
      <c r="E36">
        <v>14</v>
      </c>
      <c r="F36">
        <v>15</v>
      </c>
      <c r="G36">
        <v>16</v>
      </c>
      <c r="H36">
        <v>17</v>
      </c>
      <c r="I36">
        <v>18</v>
      </c>
      <c r="J36">
        <v>19</v>
      </c>
      <c r="K36">
        <v>20</v>
      </c>
      <c r="L36">
        <v>21</v>
      </c>
      <c r="M36">
        <v>22</v>
      </c>
      <c r="N36">
        <v>23</v>
      </c>
      <c r="O36">
        <v>24</v>
      </c>
      <c r="P36">
        <v>25</v>
      </c>
      <c r="Q36">
        <v>26</v>
      </c>
      <c r="R36">
        <v>27</v>
      </c>
      <c r="S36">
        <v>28</v>
      </c>
      <c r="T36">
        <v>29</v>
      </c>
      <c r="U36">
        <v>30</v>
      </c>
      <c r="V36">
        <v>31</v>
      </c>
      <c r="W36">
        <v>32</v>
      </c>
      <c r="X36">
        <v>33</v>
      </c>
      <c r="Y36">
        <v>34</v>
      </c>
      <c r="Z36">
        <v>35</v>
      </c>
      <c r="AA36">
        <v>36</v>
      </c>
      <c r="AB36">
        <v>37</v>
      </c>
      <c r="AC36">
        <v>38</v>
      </c>
      <c r="AD36">
        <v>39</v>
      </c>
      <c r="AE36">
        <v>40</v>
      </c>
      <c r="AF36">
        <v>41</v>
      </c>
      <c r="AG36">
        <v>42</v>
      </c>
      <c r="AH36">
        <v>43</v>
      </c>
      <c r="AI36">
        <v>44</v>
      </c>
      <c r="AJ36">
        <v>45</v>
      </c>
    </row>
    <row r="37" spans="1:36" x14ac:dyDescent="0.25">
      <c r="A37" s="24"/>
      <c r="B37">
        <v>123</v>
      </c>
      <c r="C37">
        <v>12</v>
      </c>
      <c r="D37">
        <v>13</v>
      </c>
      <c r="E37">
        <v>14</v>
      </c>
      <c r="F37">
        <v>15</v>
      </c>
      <c r="G37">
        <v>16</v>
      </c>
      <c r="H37">
        <v>17</v>
      </c>
      <c r="I37">
        <v>18</v>
      </c>
      <c r="J37">
        <v>19</v>
      </c>
      <c r="K37">
        <v>20</v>
      </c>
      <c r="L37">
        <v>21</v>
      </c>
      <c r="M37">
        <v>22</v>
      </c>
      <c r="N37">
        <v>23</v>
      </c>
      <c r="O37">
        <v>24</v>
      </c>
      <c r="P37">
        <v>25</v>
      </c>
      <c r="Q37">
        <v>26</v>
      </c>
      <c r="R37">
        <v>27</v>
      </c>
      <c r="S37">
        <v>28</v>
      </c>
      <c r="T37">
        <v>29</v>
      </c>
      <c r="U37">
        <v>30</v>
      </c>
      <c r="V37">
        <v>31</v>
      </c>
      <c r="W37">
        <v>32</v>
      </c>
      <c r="X37">
        <v>33</v>
      </c>
      <c r="Y37">
        <v>34</v>
      </c>
      <c r="Z37">
        <v>35</v>
      </c>
      <c r="AA37">
        <v>36</v>
      </c>
      <c r="AB37">
        <v>37</v>
      </c>
      <c r="AC37">
        <v>38</v>
      </c>
      <c r="AD37">
        <v>39</v>
      </c>
      <c r="AE37">
        <v>40</v>
      </c>
      <c r="AF37">
        <v>41</v>
      </c>
      <c r="AG37">
        <v>42</v>
      </c>
      <c r="AH37">
        <v>43</v>
      </c>
      <c r="AI37">
        <v>44</v>
      </c>
      <c r="AJ37">
        <v>45</v>
      </c>
    </row>
    <row r="38" spans="1:36" x14ac:dyDescent="0.25">
      <c r="A38" s="24"/>
      <c r="B38">
        <v>124</v>
      </c>
      <c r="C38">
        <v>12</v>
      </c>
      <c r="D38">
        <v>13</v>
      </c>
      <c r="E38">
        <v>14</v>
      </c>
      <c r="F38">
        <v>15</v>
      </c>
      <c r="G38">
        <v>16</v>
      </c>
      <c r="H38">
        <v>17</v>
      </c>
      <c r="I38">
        <v>18</v>
      </c>
      <c r="J38">
        <v>19</v>
      </c>
      <c r="K38">
        <v>20</v>
      </c>
      <c r="L38">
        <v>21</v>
      </c>
      <c r="M38">
        <v>22</v>
      </c>
      <c r="N38">
        <v>23</v>
      </c>
      <c r="O38">
        <v>24</v>
      </c>
      <c r="P38">
        <v>25</v>
      </c>
      <c r="Q38">
        <v>26</v>
      </c>
      <c r="R38">
        <v>27</v>
      </c>
      <c r="S38">
        <v>28</v>
      </c>
      <c r="T38">
        <v>29</v>
      </c>
      <c r="U38">
        <v>30</v>
      </c>
      <c r="V38">
        <v>31</v>
      </c>
      <c r="W38">
        <v>32</v>
      </c>
      <c r="X38">
        <v>33</v>
      </c>
      <c r="Y38">
        <v>34</v>
      </c>
      <c r="Z38">
        <v>35</v>
      </c>
      <c r="AA38">
        <v>36</v>
      </c>
      <c r="AB38">
        <v>37</v>
      </c>
      <c r="AC38">
        <v>38</v>
      </c>
      <c r="AD38">
        <v>39</v>
      </c>
      <c r="AE38">
        <v>40</v>
      </c>
      <c r="AF38">
        <v>41</v>
      </c>
      <c r="AG38">
        <v>42</v>
      </c>
      <c r="AH38">
        <v>43</v>
      </c>
      <c r="AI38">
        <v>44</v>
      </c>
      <c r="AJ38">
        <v>45</v>
      </c>
    </row>
    <row r="39" spans="1:36" x14ac:dyDescent="0.25">
      <c r="A39" s="24"/>
      <c r="B39">
        <v>125</v>
      </c>
      <c r="C39">
        <v>12</v>
      </c>
      <c r="D39">
        <v>13</v>
      </c>
      <c r="E39">
        <v>14</v>
      </c>
      <c r="F39">
        <v>15</v>
      </c>
      <c r="G39">
        <v>16</v>
      </c>
      <c r="H39">
        <v>17</v>
      </c>
      <c r="I39">
        <v>18</v>
      </c>
      <c r="J39">
        <v>19</v>
      </c>
      <c r="K39">
        <v>20</v>
      </c>
      <c r="L39">
        <v>21</v>
      </c>
      <c r="M39">
        <v>22</v>
      </c>
      <c r="N39">
        <v>23</v>
      </c>
      <c r="O39">
        <v>24</v>
      </c>
      <c r="P39">
        <v>25</v>
      </c>
      <c r="Q39">
        <v>26</v>
      </c>
      <c r="R39">
        <v>27</v>
      </c>
      <c r="S39">
        <v>28</v>
      </c>
      <c r="T39">
        <v>29</v>
      </c>
      <c r="U39">
        <v>30</v>
      </c>
      <c r="V39">
        <v>31</v>
      </c>
      <c r="W39">
        <v>32</v>
      </c>
      <c r="X39">
        <v>33</v>
      </c>
      <c r="Y39">
        <v>34</v>
      </c>
      <c r="Z39">
        <v>35</v>
      </c>
      <c r="AA39">
        <v>36</v>
      </c>
      <c r="AB39">
        <v>37</v>
      </c>
      <c r="AC39">
        <v>38</v>
      </c>
      <c r="AD39">
        <v>39</v>
      </c>
      <c r="AE39">
        <v>40</v>
      </c>
      <c r="AF39">
        <v>41</v>
      </c>
      <c r="AG39">
        <v>42</v>
      </c>
      <c r="AH39">
        <v>43</v>
      </c>
      <c r="AI39">
        <v>44</v>
      </c>
      <c r="AJ39">
        <v>45</v>
      </c>
    </row>
    <row r="40" spans="1:36" x14ac:dyDescent="0.25">
      <c r="A40" s="24"/>
      <c r="B40">
        <v>126</v>
      </c>
      <c r="C40">
        <v>12</v>
      </c>
      <c r="D40">
        <v>13</v>
      </c>
      <c r="E40">
        <v>14</v>
      </c>
      <c r="F40">
        <v>15</v>
      </c>
      <c r="G40">
        <v>16</v>
      </c>
      <c r="H40">
        <v>17</v>
      </c>
      <c r="I40">
        <v>18</v>
      </c>
      <c r="J40">
        <v>19</v>
      </c>
      <c r="K40">
        <v>20</v>
      </c>
      <c r="L40">
        <v>21</v>
      </c>
      <c r="M40">
        <v>22</v>
      </c>
      <c r="N40">
        <v>23</v>
      </c>
      <c r="O40">
        <v>24</v>
      </c>
      <c r="P40">
        <v>25</v>
      </c>
      <c r="Q40">
        <v>26</v>
      </c>
      <c r="R40">
        <v>27</v>
      </c>
      <c r="S40">
        <v>28</v>
      </c>
      <c r="T40">
        <v>29</v>
      </c>
      <c r="U40">
        <v>30</v>
      </c>
      <c r="V40">
        <v>31</v>
      </c>
      <c r="W40">
        <v>32</v>
      </c>
      <c r="X40">
        <v>33</v>
      </c>
      <c r="Y40">
        <v>34</v>
      </c>
      <c r="Z40">
        <v>35</v>
      </c>
      <c r="AA40">
        <v>36</v>
      </c>
      <c r="AB40">
        <v>37</v>
      </c>
      <c r="AC40">
        <v>38</v>
      </c>
      <c r="AD40">
        <v>39</v>
      </c>
      <c r="AE40">
        <v>40</v>
      </c>
      <c r="AF40">
        <v>40</v>
      </c>
      <c r="AG40">
        <v>41</v>
      </c>
      <c r="AH40">
        <v>42</v>
      </c>
      <c r="AI40">
        <v>43</v>
      </c>
      <c r="AJ40">
        <v>44</v>
      </c>
    </row>
    <row r="41" spans="1:36" x14ac:dyDescent="0.25">
      <c r="A41" s="24"/>
      <c r="B41">
        <v>127</v>
      </c>
      <c r="C41">
        <v>12</v>
      </c>
      <c r="D41">
        <v>13</v>
      </c>
      <c r="E41">
        <v>14</v>
      </c>
      <c r="F41">
        <v>15</v>
      </c>
      <c r="G41">
        <v>16</v>
      </c>
      <c r="H41">
        <v>16</v>
      </c>
      <c r="I41">
        <v>17</v>
      </c>
      <c r="J41">
        <v>18</v>
      </c>
      <c r="K41">
        <v>19</v>
      </c>
      <c r="L41">
        <v>20</v>
      </c>
      <c r="M41">
        <v>21</v>
      </c>
      <c r="N41">
        <v>22</v>
      </c>
      <c r="O41">
        <v>23</v>
      </c>
      <c r="P41">
        <v>24</v>
      </c>
      <c r="Q41">
        <v>25</v>
      </c>
      <c r="R41">
        <v>26</v>
      </c>
      <c r="S41">
        <v>27</v>
      </c>
      <c r="T41">
        <v>28</v>
      </c>
      <c r="U41">
        <v>29</v>
      </c>
      <c r="V41">
        <v>30</v>
      </c>
      <c r="W41">
        <v>31</v>
      </c>
      <c r="X41">
        <v>32</v>
      </c>
      <c r="Y41">
        <v>33</v>
      </c>
      <c r="Z41">
        <v>34</v>
      </c>
      <c r="AA41">
        <v>35</v>
      </c>
      <c r="AB41">
        <v>36</v>
      </c>
      <c r="AC41">
        <v>37</v>
      </c>
      <c r="AD41">
        <v>38</v>
      </c>
      <c r="AE41">
        <v>39</v>
      </c>
      <c r="AF41">
        <v>40</v>
      </c>
      <c r="AG41">
        <v>41</v>
      </c>
      <c r="AH41">
        <v>42</v>
      </c>
      <c r="AI41">
        <v>43</v>
      </c>
      <c r="AJ41">
        <v>44</v>
      </c>
    </row>
    <row r="42" spans="1:36" x14ac:dyDescent="0.25">
      <c r="A42" s="24"/>
      <c r="B42">
        <v>128</v>
      </c>
      <c r="C42">
        <v>11</v>
      </c>
      <c r="D42">
        <v>12</v>
      </c>
      <c r="E42">
        <v>13</v>
      </c>
      <c r="F42">
        <v>14</v>
      </c>
      <c r="G42">
        <v>15</v>
      </c>
      <c r="H42">
        <v>16</v>
      </c>
      <c r="I42">
        <v>17</v>
      </c>
      <c r="J42">
        <v>18</v>
      </c>
      <c r="K42">
        <v>19</v>
      </c>
      <c r="L42">
        <v>20</v>
      </c>
      <c r="M42">
        <v>21</v>
      </c>
      <c r="N42">
        <v>22</v>
      </c>
      <c r="O42">
        <v>23</v>
      </c>
      <c r="P42">
        <v>24</v>
      </c>
      <c r="Q42">
        <v>25</v>
      </c>
      <c r="R42">
        <v>26</v>
      </c>
      <c r="S42">
        <v>27</v>
      </c>
      <c r="T42">
        <v>28</v>
      </c>
      <c r="U42">
        <v>29</v>
      </c>
      <c r="V42">
        <v>30</v>
      </c>
      <c r="W42">
        <v>31</v>
      </c>
      <c r="X42">
        <v>32</v>
      </c>
      <c r="Y42">
        <v>33</v>
      </c>
      <c r="Z42">
        <v>34</v>
      </c>
      <c r="AA42">
        <v>35</v>
      </c>
      <c r="AB42">
        <v>36</v>
      </c>
      <c r="AC42">
        <v>37</v>
      </c>
      <c r="AD42">
        <v>38</v>
      </c>
      <c r="AE42">
        <v>39</v>
      </c>
      <c r="AF42">
        <v>40</v>
      </c>
      <c r="AG42">
        <v>41</v>
      </c>
      <c r="AH42">
        <v>42</v>
      </c>
      <c r="AI42">
        <v>43</v>
      </c>
      <c r="AJ42">
        <v>44</v>
      </c>
    </row>
    <row r="43" spans="1:36" x14ac:dyDescent="0.25">
      <c r="A43" s="24"/>
      <c r="B43">
        <v>129</v>
      </c>
      <c r="C43">
        <v>11</v>
      </c>
      <c r="D43">
        <v>12</v>
      </c>
      <c r="E43">
        <v>13</v>
      </c>
      <c r="F43">
        <v>14</v>
      </c>
      <c r="G43">
        <v>15</v>
      </c>
      <c r="H43">
        <v>16</v>
      </c>
      <c r="I43">
        <v>17</v>
      </c>
      <c r="J43">
        <v>18</v>
      </c>
      <c r="K43">
        <v>19</v>
      </c>
      <c r="L43">
        <v>20</v>
      </c>
      <c r="M43">
        <v>21</v>
      </c>
      <c r="N43">
        <v>22</v>
      </c>
      <c r="O43">
        <v>23</v>
      </c>
      <c r="P43">
        <v>24</v>
      </c>
      <c r="Q43">
        <v>25</v>
      </c>
      <c r="R43">
        <v>26</v>
      </c>
      <c r="S43">
        <v>27</v>
      </c>
      <c r="T43">
        <v>28</v>
      </c>
      <c r="U43">
        <v>29</v>
      </c>
      <c r="V43">
        <v>30</v>
      </c>
      <c r="W43">
        <v>31</v>
      </c>
      <c r="X43">
        <v>32</v>
      </c>
      <c r="Y43">
        <v>33</v>
      </c>
      <c r="Z43">
        <v>34</v>
      </c>
      <c r="AA43">
        <v>35</v>
      </c>
      <c r="AB43">
        <v>36</v>
      </c>
      <c r="AC43">
        <v>37</v>
      </c>
      <c r="AD43">
        <v>38</v>
      </c>
      <c r="AE43">
        <v>39</v>
      </c>
      <c r="AF43">
        <v>40</v>
      </c>
      <c r="AG43">
        <v>41</v>
      </c>
      <c r="AH43">
        <v>42</v>
      </c>
      <c r="AI43">
        <v>43</v>
      </c>
      <c r="AJ43">
        <v>44</v>
      </c>
    </row>
    <row r="44" spans="1:36" x14ac:dyDescent="0.25">
      <c r="A44" s="24"/>
      <c r="B44">
        <v>130</v>
      </c>
      <c r="C44">
        <v>11</v>
      </c>
      <c r="D44">
        <v>12</v>
      </c>
      <c r="E44">
        <v>13</v>
      </c>
      <c r="F44">
        <v>14</v>
      </c>
      <c r="G44">
        <v>15</v>
      </c>
      <c r="H44">
        <v>16</v>
      </c>
      <c r="I44">
        <v>17</v>
      </c>
      <c r="J44">
        <v>18</v>
      </c>
      <c r="K44">
        <v>19</v>
      </c>
      <c r="L44">
        <v>20</v>
      </c>
      <c r="M44">
        <v>21</v>
      </c>
      <c r="N44">
        <v>22</v>
      </c>
      <c r="O44">
        <v>23</v>
      </c>
      <c r="P44">
        <v>24</v>
      </c>
      <c r="Q44">
        <v>25</v>
      </c>
      <c r="R44">
        <v>26</v>
      </c>
      <c r="S44">
        <v>27</v>
      </c>
      <c r="T44">
        <v>28</v>
      </c>
      <c r="U44">
        <v>29</v>
      </c>
      <c r="V44">
        <v>30</v>
      </c>
      <c r="W44">
        <v>31</v>
      </c>
      <c r="X44">
        <v>32</v>
      </c>
      <c r="Y44">
        <v>33</v>
      </c>
      <c r="Z44">
        <v>34</v>
      </c>
      <c r="AA44">
        <v>35</v>
      </c>
      <c r="AB44">
        <v>36</v>
      </c>
      <c r="AC44">
        <v>37</v>
      </c>
      <c r="AD44">
        <v>38</v>
      </c>
      <c r="AE44">
        <v>39</v>
      </c>
      <c r="AF44">
        <v>40</v>
      </c>
      <c r="AG44">
        <v>41</v>
      </c>
      <c r="AH44">
        <v>42</v>
      </c>
      <c r="AI44">
        <v>43</v>
      </c>
      <c r="AJ44">
        <v>44</v>
      </c>
    </row>
    <row r="45" spans="1:36" x14ac:dyDescent="0.25">
      <c r="A45" s="24"/>
      <c r="B45">
        <v>131</v>
      </c>
      <c r="C45">
        <v>11</v>
      </c>
      <c r="D45">
        <v>12</v>
      </c>
      <c r="E45">
        <v>13</v>
      </c>
      <c r="F45">
        <v>14</v>
      </c>
      <c r="G45">
        <v>15</v>
      </c>
      <c r="H45">
        <v>16</v>
      </c>
      <c r="I45">
        <v>17</v>
      </c>
      <c r="J45">
        <v>18</v>
      </c>
      <c r="K45">
        <v>19</v>
      </c>
      <c r="L45">
        <v>20</v>
      </c>
      <c r="M45">
        <v>21</v>
      </c>
      <c r="N45">
        <v>22</v>
      </c>
      <c r="O45">
        <v>23</v>
      </c>
      <c r="P45">
        <v>24</v>
      </c>
      <c r="Q45">
        <v>25</v>
      </c>
      <c r="R45">
        <v>26</v>
      </c>
      <c r="S45">
        <v>27</v>
      </c>
      <c r="T45">
        <v>28</v>
      </c>
      <c r="U45">
        <v>29</v>
      </c>
      <c r="V45">
        <v>30</v>
      </c>
      <c r="W45">
        <v>31</v>
      </c>
      <c r="X45">
        <v>32</v>
      </c>
      <c r="Y45">
        <v>33</v>
      </c>
      <c r="Z45">
        <v>34</v>
      </c>
      <c r="AA45">
        <v>35</v>
      </c>
      <c r="AB45">
        <v>36</v>
      </c>
      <c r="AC45">
        <v>37</v>
      </c>
      <c r="AD45">
        <v>38</v>
      </c>
      <c r="AE45">
        <v>39</v>
      </c>
      <c r="AF45">
        <v>40</v>
      </c>
      <c r="AG45">
        <v>41</v>
      </c>
      <c r="AH45">
        <v>42</v>
      </c>
      <c r="AI45">
        <v>43</v>
      </c>
      <c r="AJ45">
        <v>44</v>
      </c>
    </row>
    <row r="46" spans="1:36" x14ac:dyDescent="0.25">
      <c r="A46" s="24"/>
      <c r="B46">
        <v>132</v>
      </c>
      <c r="C46">
        <v>11</v>
      </c>
      <c r="D46">
        <v>12</v>
      </c>
      <c r="E46">
        <v>13</v>
      </c>
      <c r="F46">
        <v>14</v>
      </c>
      <c r="G46">
        <v>15</v>
      </c>
      <c r="H46">
        <v>16</v>
      </c>
      <c r="I46">
        <v>17</v>
      </c>
      <c r="J46">
        <v>18</v>
      </c>
      <c r="K46">
        <v>19</v>
      </c>
      <c r="L46">
        <v>20</v>
      </c>
      <c r="M46">
        <v>21</v>
      </c>
      <c r="N46">
        <v>22</v>
      </c>
      <c r="O46">
        <v>23</v>
      </c>
      <c r="P46">
        <v>24</v>
      </c>
      <c r="Q46">
        <v>25</v>
      </c>
      <c r="R46">
        <v>26</v>
      </c>
      <c r="S46">
        <v>27</v>
      </c>
      <c r="T46">
        <v>28</v>
      </c>
      <c r="U46">
        <v>29</v>
      </c>
      <c r="V46">
        <v>30</v>
      </c>
      <c r="W46">
        <v>31</v>
      </c>
      <c r="X46">
        <v>32</v>
      </c>
      <c r="Y46">
        <v>33</v>
      </c>
      <c r="Z46">
        <v>34</v>
      </c>
      <c r="AA46">
        <v>35</v>
      </c>
      <c r="AB46">
        <v>36</v>
      </c>
      <c r="AC46">
        <v>37</v>
      </c>
      <c r="AD46">
        <v>38</v>
      </c>
      <c r="AE46">
        <v>39</v>
      </c>
      <c r="AF46">
        <v>40</v>
      </c>
      <c r="AG46">
        <v>41</v>
      </c>
      <c r="AH46">
        <v>42</v>
      </c>
      <c r="AI46">
        <v>43</v>
      </c>
      <c r="AJ46">
        <v>44</v>
      </c>
    </row>
    <row r="47" spans="1:36" x14ac:dyDescent="0.25">
      <c r="A47" s="24"/>
      <c r="B47">
        <v>133</v>
      </c>
      <c r="C47">
        <v>11</v>
      </c>
      <c r="D47">
        <v>12</v>
      </c>
      <c r="E47">
        <v>13</v>
      </c>
      <c r="F47">
        <v>14</v>
      </c>
      <c r="G47">
        <v>15</v>
      </c>
      <c r="H47">
        <v>16</v>
      </c>
      <c r="I47">
        <v>17</v>
      </c>
      <c r="J47">
        <v>18</v>
      </c>
      <c r="K47">
        <v>19</v>
      </c>
      <c r="L47">
        <v>20</v>
      </c>
      <c r="M47">
        <v>21</v>
      </c>
      <c r="N47">
        <v>22</v>
      </c>
      <c r="O47">
        <v>23</v>
      </c>
      <c r="P47">
        <v>24</v>
      </c>
      <c r="Q47">
        <v>25</v>
      </c>
      <c r="R47">
        <v>26</v>
      </c>
      <c r="S47">
        <v>27</v>
      </c>
      <c r="T47">
        <v>28</v>
      </c>
      <c r="U47">
        <v>29</v>
      </c>
      <c r="V47">
        <v>30</v>
      </c>
      <c r="W47">
        <v>31</v>
      </c>
      <c r="X47">
        <v>32</v>
      </c>
      <c r="Y47">
        <v>33</v>
      </c>
      <c r="Z47">
        <v>34</v>
      </c>
      <c r="AA47">
        <v>35</v>
      </c>
      <c r="AB47">
        <v>36</v>
      </c>
      <c r="AC47">
        <v>37</v>
      </c>
      <c r="AD47">
        <v>38</v>
      </c>
      <c r="AE47">
        <v>39</v>
      </c>
      <c r="AF47">
        <v>40</v>
      </c>
      <c r="AG47">
        <v>41</v>
      </c>
      <c r="AH47">
        <v>42</v>
      </c>
      <c r="AI47">
        <v>43</v>
      </c>
      <c r="AJ47">
        <v>44</v>
      </c>
    </row>
    <row r="48" spans="1:36" x14ac:dyDescent="0.25">
      <c r="A48" s="24"/>
      <c r="B48">
        <v>134</v>
      </c>
      <c r="C48">
        <v>11</v>
      </c>
      <c r="D48">
        <v>12</v>
      </c>
      <c r="E48">
        <v>13</v>
      </c>
      <c r="F48">
        <v>14</v>
      </c>
      <c r="G48">
        <v>15</v>
      </c>
      <c r="H48">
        <v>16</v>
      </c>
      <c r="I48">
        <v>17</v>
      </c>
      <c r="J48">
        <v>18</v>
      </c>
      <c r="K48">
        <v>19</v>
      </c>
      <c r="L48">
        <v>20</v>
      </c>
      <c r="M48">
        <v>21</v>
      </c>
      <c r="N48">
        <v>22</v>
      </c>
      <c r="O48">
        <v>23</v>
      </c>
      <c r="P48">
        <v>24</v>
      </c>
      <c r="Q48">
        <v>25</v>
      </c>
      <c r="R48">
        <v>26</v>
      </c>
      <c r="S48">
        <v>27</v>
      </c>
      <c r="T48">
        <v>28</v>
      </c>
      <c r="U48">
        <v>29</v>
      </c>
      <c r="V48">
        <v>30</v>
      </c>
      <c r="W48">
        <v>31</v>
      </c>
      <c r="X48">
        <v>32</v>
      </c>
      <c r="Y48">
        <v>33</v>
      </c>
      <c r="Z48">
        <v>34</v>
      </c>
      <c r="AA48">
        <v>35</v>
      </c>
      <c r="AB48">
        <v>36</v>
      </c>
      <c r="AC48">
        <v>37</v>
      </c>
      <c r="AD48">
        <v>38</v>
      </c>
      <c r="AE48">
        <v>39</v>
      </c>
      <c r="AF48">
        <v>40</v>
      </c>
      <c r="AG48">
        <v>41</v>
      </c>
      <c r="AH48">
        <v>42</v>
      </c>
      <c r="AI48">
        <v>43</v>
      </c>
      <c r="AJ48">
        <v>44</v>
      </c>
    </row>
    <row r="49" spans="1:36" x14ac:dyDescent="0.25">
      <c r="A49" s="24"/>
      <c r="B49">
        <v>135</v>
      </c>
      <c r="C49">
        <v>11</v>
      </c>
      <c r="D49">
        <v>12</v>
      </c>
      <c r="E49">
        <v>13</v>
      </c>
      <c r="F49">
        <v>14</v>
      </c>
      <c r="G49">
        <v>15</v>
      </c>
      <c r="H49">
        <v>16</v>
      </c>
      <c r="I49">
        <v>17</v>
      </c>
      <c r="J49">
        <v>18</v>
      </c>
      <c r="K49">
        <v>19</v>
      </c>
      <c r="L49">
        <v>20</v>
      </c>
      <c r="M49">
        <v>21</v>
      </c>
      <c r="N49">
        <v>22</v>
      </c>
      <c r="O49">
        <v>22</v>
      </c>
      <c r="P49">
        <v>23</v>
      </c>
      <c r="Q49">
        <v>24</v>
      </c>
      <c r="R49">
        <v>25</v>
      </c>
      <c r="S49">
        <v>26</v>
      </c>
      <c r="T49">
        <v>27</v>
      </c>
      <c r="U49">
        <v>28</v>
      </c>
      <c r="V49">
        <v>29</v>
      </c>
      <c r="W49">
        <v>30</v>
      </c>
      <c r="X49">
        <v>31</v>
      </c>
      <c r="Y49">
        <v>32</v>
      </c>
      <c r="Z49">
        <v>33</v>
      </c>
      <c r="AA49">
        <v>34</v>
      </c>
      <c r="AB49">
        <v>35</v>
      </c>
      <c r="AC49">
        <v>36</v>
      </c>
      <c r="AD49">
        <v>37</v>
      </c>
      <c r="AE49">
        <v>38</v>
      </c>
      <c r="AF49">
        <v>39</v>
      </c>
      <c r="AG49">
        <v>40</v>
      </c>
      <c r="AH49">
        <v>41</v>
      </c>
      <c r="AI49">
        <v>42</v>
      </c>
      <c r="AJ49">
        <v>43</v>
      </c>
    </row>
    <row r="50" spans="1:36" x14ac:dyDescent="0.25">
      <c r="A50" s="24"/>
      <c r="B50">
        <v>136</v>
      </c>
      <c r="C50">
        <v>10</v>
      </c>
      <c r="D50">
        <v>11</v>
      </c>
      <c r="E50">
        <v>12</v>
      </c>
      <c r="F50">
        <v>13</v>
      </c>
      <c r="G50">
        <v>14</v>
      </c>
      <c r="H50">
        <v>15</v>
      </c>
      <c r="I50">
        <v>16</v>
      </c>
      <c r="J50">
        <v>17</v>
      </c>
      <c r="K50">
        <v>18</v>
      </c>
      <c r="L50">
        <v>19</v>
      </c>
      <c r="M50">
        <v>20</v>
      </c>
      <c r="N50">
        <v>21</v>
      </c>
      <c r="O50">
        <v>22</v>
      </c>
      <c r="P50">
        <v>23</v>
      </c>
      <c r="Q50">
        <v>24</v>
      </c>
      <c r="R50">
        <v>25</v>
      </c>
      <c r="S50">
        <v>26</v>
      </c>
      <c r="T50">
        <v>27</v>
      </c>
      <c r="U50">
        <v>28</v>
      </c>
      <c r="V50">
        <v>29</v>
      </c>
      <c r="W50">
        <v>30</v>
      </c>
      <c r="X50">
        <v>31</v>
      </c>
      <c r="Y50">
        <v>32</v>
      </c>
      <c r="Z50">
        <v>33</v>
      </c>
      <c r="AA50">
        <v>34</v>
      </c>
      <c r="AB50">
        <v>35</v>
      </c>
      <c r="AC50">
        <v>36</v>
      </c>
      <c r="AD50">
        <v>37</v>
      </c>
      <c r="AE50">
        <v>38</v>
      </c>
      <c r="AF50">
        <v>39</v>
      </c>
      <c r="AG50">
        <v>40</v>
      </c>
      <c r="AH50">
        <v>41</v>
      </c>
      <c r="AI50">
        <v>42</v>
      </c>
      <c r="AJ50">
        <v>43</v>
      </c>
    </row>
    <row r="51" spans="1:36" x14ac:dyDescent="0.25">
      <c r="A51" s="24"/>
      <c r="B51">
        <v>137</v>
      </c>
      <c r="C51">
        <v>10</v>
      </c>
      <c r="D51">
        <v>11</v>
      </c>
      <c r="E51">
        <v>12</v>
      </c>
      <c r="F51">
        <v>13</v>
      </c>
      <c r="G51">
        <v>14</v>
      </c>
      <c r="H51">
        <v>15</v>
      </c>
      <c r="I51">
        <v>16</v>
      </c>
      <c r="J51">
        <v>17</v>
      </c>
      <c r="K51">
        <v>18</v>
      </c>
      <c r="L51">
        <v>19</v>
      </c>
      <c r="M51">
        <v>20</v>
      </c>
      <c r="N51">
        <v>21</v>
      </c>
      <c r="O51">
        <v>22</v>
      </c>
      <c r="P51">
        <v>23</v>
      </c>
      <c r="Q51">
        <v>24</v>
      </c>
      <c r="R51">
        <v>25</v>
      </c>
      <c r="S51">
        <v>26</v>
      </c>
      <c r="T51">
        <v>27</v>
      </c>
      <c r="U51">
        <v>28</v>
      </c>
      <c r="V51">
        <v>29</v>
      </c>
      <c r="W51">
        <v>30</v>
      </c>
      <c r="X51">
        <v>31</v>
      </c>
      <c r="Y51">
        <v>32</v>
      </c>
      <c r="Z51">
        <v>33</v>
      </c>
      <c r="AA51">
        <v>34</v>
      </c>
      <c r="AB51">
        <v>35</v>
      </c>
      <c r="AC51">
        <v>36</v>
      </c>
      <c r="AD51">
        <v>37</v>
      </c>
      <c r="AE51">
        <v>38</v>
      </c>
      <c r="AF51">
        <v>39</v>
      </c>
      <c r="AG51">
        <v>40</v>
      </c>
      <c r="AH51">
        <v>41</v>
      </c>
      <c r="AI51">
        <v>42</v>
      </c>
      <c r="AJ51">
        <v>43</v>
      </c>
    </row>
    <row r="52" spans="1:36" x14ac:dyDescent="0.25">
      <c r="A52" s="24"/>
      <c r="B52">
        <v>138</v>
      </c>
      <c r="C52">
        <v>10</v>
      </c>
      <c r="D52">
        <v>11</v>
      </c>
      <c r="E52">
        <v>12</v>
      </c>
      <c r="F52">
        <v>13</v>
      </c>
      <c r="G52">
        <v>14</v>
      </c>
      <c r="H52">
        <v>15</v>
      </c>
      <c r="I52">
        <v>16</v>
      </c>
      <c r="J52">
        <v>17</v>
      </c>
      <c r="K52">
        <v>18</v>
      </c>
      <c r="L52">
        <v>19</v>
      </c>
      <c r="M52">
        <v>20</v>
      </c>
      <c r="N52">
        <v>21</v>
      </c>
      <c r="O52">
        <v>22</v>
      </c>
      <c r="P52">
        <v>23</v>
      </c>
      <c r="Q52">
        <v>24</v>
      </c>
      <c r="R52">
        <v>25</v>
      </c>
      <c r="S52">
        <v>26</v>
      </c>
      <c r="T52">
        <v>27</v>
      </c>
      <c r="U52">
        <v>28</v>
      </c>
      <c r="V52">
        <v>29</v>
      </c>
      <c r="W52">
        <v>30</v>
      </c>
      <c r="X52">
        <v>31</v>
      </c>
      <c r="Y52">
        <v>32</v>
      </c>
      <c r="Z52">
        <v>33</v>
      </c>
      <c r="AA52">
        <v>34</v>
      </c>
      <c r="AB52">
        <v>35</v>
      </c>
      <c r="AC52">
        <v>36</v>
      </c>
      <c r="AD52">
        <v>37</v>
      </c>
      <c r="AE52">
        <v>38</v>
      </c>
      <c r="AF52">
        <v>39</v>
      </c>
      <c r="AG52">
        <v>40</v>
      </c>
      <c r="AH52">
        <v>41</v>
      </c>
      <c r="AI52">
        <v>42</v>
      </c>
      <c r="AJ52">
        <v>43</v>
      </c>
    </row>
    <row r="53" spans="1:36" x14ac:dyDescent="0.25">
      <c r="A53" s="24"/>
      <c r="B53">
        <v>139</v>
      </c>
      <c r="C53">
        <v>10</v>
      </c>
      <c r="D53">
        <v>11</v>
      </c>
      <c r="E53">
        <v>12</v>
      </c>
      <c r="F53">
        <v>13</v>
      </c>
      <c r="G53">
        <v>14</v>
      </c>
      <c r="H53">
        <v>15</v>
      </c>
      <c r="I53">
        <v>16</v>
      </c>
      <c r="J53">
        <v>17</v>
      </c>
      <c r="K53">
        <v>18</v>
      </c>
      <c r="L53">
        <v>19</v>
      </c>
      <c r="M53">
        <v>20</v>
      </c>
      <c r="N53">
        <v>21</v>
      </c>
      <c r="O53">
        <v>22</v>
      </c>
      <c r="P53">
        <v>23</v>
      </c>
      <c r="Q53">
        <v>24</v>
      </c>
      <c r="R53">
        <v>25</v>
      </c>
      <c r="S53">
        <v>26</v>
      </c>
      <c r="T53">
        <v>27</v>
      </c>
      <c r="U53">
        <v>28</v>
      </c>
      <c r="V53">
        <v>29</v>
      </c>
      <c r="W53">
        <v>30</v>
      </c>
      <c r="X53">
        <v>31</v>
      </c>
      <c r="Y53">
        <v>32</v>
      </c>
      <c r="Z53">
        <v>33</v>
      </c>
      <c r="AA53">
        <v>34</v>
      </c>
      <c r="AB53">
        <v>35</v>
      </c>
      <c r="AC53">
        <v>36</v>
      </c>
      <c r="AD53">
        <v>37</v>
      </c>
      <c r="AE53">
        <v>38</v>
      </c>
      <c r="AF53">
        <v>39</v>
      </c>
      <c r="AG53">
        <v>40</v>
      </c>
      <c r="AH53">
        <v>41</v>
      </c>
      <c r="AI53">
        <v>42</v>
      </c>
      <c r="AJ53">
        <v>43</v>
      </c>
    </row>
    <row r="54" spans="1:36" x14ac:dyDescent="0.25">
      <c r="A54" s="24"/>
      <c r="B54">
        <v>140</v>
      </c>
      <c r="C54">
        <v>10</v>
      </c>
      <c r="D54">
        <v>11</v>
      </c>
      <c r="E54">
        <v>12</v>
      </c>
      <c r="F54">
        <v>13</v>
      </c>
      <c r="G54">
        <v>14</v>
      </c>
      <c r="H54">
        <v>15</v>
      </c>
      <c r="I54">
        <v>16</v>
      </c>
      <c r="J54">
        <v>17</v>
      </c>
      <c r="K54">
        <v>18</v>
      </c>
      <c r="L54">
        <v>19</v>
      </c>
      <c r="M54">
        <v>20</v>
      </c>
      <c r="N54">
        <v>21</v>
      </c>
      <c r="O54">
        <v>22</v>
      </c>
      <c r="P54">
        <v>23</v>
      </c>
      <c r="Q54">
        <v>24</v>
      </c>
      <c r="R54">
        <v>25</v>
      </c>
      <c r="S54">
        <v>26</v>
      </c>
      <c r="T54">
        <v>27</v>
      </c>
      <c r="U54">
        <v>28</v>
      </c>
      <c r="V54">
        <v>29</v>
      </c>
      <c r="W54">
        <v>30</v>
      </c>
      <c r="X54">
        <v>31</v>
      </c>
      <c r="Y54">
        <v>32</v>
      </c>
      <c r="Z54">
        <v>33</v>
      </c>
      <c r="AA54">
        <v>34</v>
      </c>
      <c r="AB54">
        <v>35</v>
      </c>
      <c r="AC54">
        <v>36</v>
      </c>
      <c r="AD54">
        <v>37</v>
      </c>
      <c r="AE54">
        <v>38</v>
      </c>
      <c r="AF54">
        <v>39</v>
      </c>
      <c r="AG54">
        <v>40</v>
      </c>
      <c r="AH54">
        <v>41</v>
      </c>
      <c r="AI54">
        <v>42</v>
      </c>
      <c r="AJ54">
        <v>43</v>
      </c>
    </row>
    <row r="55" spans="1:36" x14ac:dyDescent="0.25">
      <c r="A55" s="24"/>
      <c r="B55">
        <v>141</v>
      </c>
      <c r="C55">
        <v>10</v>
      </c>
      <c r="D55">
        <v>11</v>
      </c>
      <c r="E55">
        <v>12</v>
      </c>
      <c r="F55">
        <v>13</v>
      </c>
      <c r="G55">
        <v>14</v>
      </c>
      <c r="H55">
        <v>15</v>
      </c>
      <c r="I55">
        <v>16</v>
      </c>
      <c r="J55">
        <v>17</v>
      </c>
      <c r="K55">
        <v>18</v>
      </c>
      <c r="L55">
        <v>19</v>
      </c>
      <c r="M55">
        <v>20</v>
      </c>
      <c r="N55">
        <v>21</v>
      </c>
      <c r="O55">
        <v>22</v>
      </c>
      <c r="P55">
        <v>23</v>
      </c>
      <c r="Q55">
        <v>24</v>
      </c>
      <c r="R55">
        <v>25</v>
      </c>
      <c r="S55">
        <v>26</v>
      </c>
      <c r="T55">
        <v>27</v>
      </c>
      <c r="U55">
        <v>28</v>
      </c>
      <c r="V55">
        <v>29</v>
      </c>
      <c r="W55">
        <v>30</v>
      </c>
      <c r="X55">
        <v>31</v>
      </c>
      <c r="Y55">
        <v>32</v>
      </c>
      <c r="Z55">
        <v>33</v>
      </c>
      <c r="AA55">
        <v>34</v>
      </c>
      <c r="AB55">
        <v>35</v>
      </c>
      <c r="AC55">
        <v>36</v>
      </c>
      <c r="AD55">
        <v>37</v>
      </c>
      <c r="AE55">
        <v>38</v>
      </c>
      <c r="AF55">
        <v>39</v>
      </c>
      <c r="AG55">
        <v>40</v>
      </c>
      <c r="AH55">
        <v>41</v>
      </c>
      <c r="AI55">
        <v>42</v>
      </c>
      <c r="AJ55">
        <v>43</v>
      </c>
    </row>
    <row r="56" spans="1:36" x14ac:dyDescent="0.25">
      <c r="A56" s="24"/>
      <c r="B56">
        <v>142</v>
      </c>
      <c r="C56">
        <v>10</v>
      </c>
      <c r="D56">
        <v>11</v>
      </c>
      <c r="E56">
        <v>12</v>
      </c>
      <c r="F56">
        <v>13</v>
      </c>
      <c r="G56">
        <v>14</v>
      </c>
      <c r="H56">
        <v>15</v>
      </c>
      <c r="I56">
        <v>16</v>
      </c>
      <c r="J56">
        <v>17</v>
      </c>
      <c r="K56">
        <v>18</v>
      </c>
      <c r="L56">
        <v>19</v>
      </c>
      <c r="M56">
        <v>20</v>
      </c>
      <c r="N56">
        <v>21</v>
      </c>
      <c r="O56">
        <v>22</v>
      </c>
      <c r="P56">
        <v>23</v>
      </c>
      <c r="Q56">
        <v>24</v>
      </c>
      <c r="R56">
        <v>25</v>
      </c>
      <c r="S56">
        <v>26</v>
      </c>
      <c r="T56">
        <v>27</v>
      </c>
      <c r="U56">
        <v>28</v>
      </c>
      <c r="V56">
        <v>29</v>
      </c>
      <c r="W56">
        <v>30</v>
      </c>
      <c r="X56">
        <v>31</v>
      </c>
      <c r="Y56">
        <v>32</v>
      </c>
      <c r="Z56">
        <v>33</v>
      </c>
      <c r="AA56">
        <v>34</v>
      </c>
      <c r="AB56">
        <v>35</v>
      </c>
      <c r="AC56">
        <v>36</v>
      </c>
      <c r="AD56">
        <v>37</v>
      </c>
      <c r="AE56">
        <v>38</v>
      </c>
      <c r="AF56">
        <v>39</v>
      </c>
      <c r="AG56">
        <v>40</v>
      </c>
      <c r="AH56">
        <v>41</v>
      </c>
      <c r="AI56">
        <v>42</v>
      </c>
      <c r="AJ56">
        <v>43</v>
      </c>
    </row>
    <row r="57" spans="1:36" x14ac:dyDescent="0.25">
      <c r="A57" s="24"/>
      <c r="B57">
        <v>143</v>
      </c>
      <c r="C57">
        <v>10</v>
      </c>
      <c r="D57">
        <v>11</v>
      </c>
      <c r="E57">
        <v>12</v>
      </c>
      <c r="F57">
        <v>13</v>
      </c>
      <c r="G57">
        <v>14</v>
      </c>
      <c r="H57">
        <v>15</v>
      </c>
      <c r="I57">
        <v>16</v>
      </c>
      <c r="J57">
        <v>17</v>
      </c>
      <c r="K57">
        <v>18</v>
      </c>
      <c r="L57">
        <v>19</v>
      </c>
      <c r="M57">
        <v>20</v>
      </c>
      <c r="N57">
        <v>21</v>
      </c>
      <c r="O57">
        <v>22</v>
      </c>
      <c r="P57">
        <v>23</v>
      </c>
      <c r="Q57">
        <v>24</v>
      </c>
      <c r="R57">
        <v>25</v>
      </c>
      <c r="S57">
        <v>26</v>
      </c>
      <c r="T57">
        <v>27</v>
      </c>
      <c r="U57">
        <v>28</v>
      </c>
      <c r="V57">
        <v>29</v>
      </c>
      <c r="W57">
        <v>30</v>
      </c>
      <c r="X57">
        <v>30</v>
      </c>
      <c r="Y57">
        <v>31</v>
      </c>
      <c r="Z57">
        <v>32</v>
      </c>
      <c r="AA57">
        <v>33</v>
      </c>
      <c r="AB57">
        <v>34</v>
      </c>
      <c r="AC57">
        <v>35</v>
      </c>
      <c r="AD57">
        <v>36</v>
      </c>
      <c r="AE57">
        <v>37</v>
      </c>
      <c r="AF57">
        <v>38</v>
      </c>
      <c r="AG57">
        <v>39</v>
      </c>
      <c r="AH57">
        <v>40</v>
      </c>
      <c r="AI57">
        <v>41</v>
      </c>
      <c r="AJ57">
        <v>42</v>
      </c>
    </row>
    <row r="58" spans="1:36" x14ac:dyDescent="0.25">
      <c r="A58" s="24"/>
      <c r="B58">
        <v>144</v>
      </c>
      <c r="C58" t="s">
        <v>28</v>
      </c>
      <c r="D58">
        <v>10</v>
      </c>
      <c r="E58">
        <v>11</v>
      </c>
      <c r="F58">
        <v>12</v>
      </c>
      <c r="G58">
        <v>13</v>
      </c>
      <c r="H58">
        <v>14</v>
      </c>
      <c r="I58">
        <v>15</v>
      </c>
      <c r="J58">
        <v>16</v>
      </c>
      <c r="K58">
        <v>17</v>
      </c>
      <c r="L58">
        <v>18</v>
      </c>
      <c r="M58">
        <v>19</v>
      </c>
      <c r="N58">
        <v>20</v>
      </c>
      <c r="O58">
        <v>21</v>
      </c>
      <c r="P58">
        <v>22</v>
      </c>
      <c r="Q58">
        <v>23</v>
      </c>
      <c r="R58">
        <v>24</v>
      </c>
      <c r="S58">
        <v>25</v>
      </c>
      <c r="T58">
        <v>26</v>
      </c>
      <c r="U58">
        <v>27</v>
      </c>
      <c r="V58">
        <v>28</v>
      </c>
      <c r="W58">
        <v>29</v>
      </c>
      <c r="X58">
        <v>30</v>
      </c>
      <c r="Y58">
        <v>31</v>
      </c>
      <c r="Z58">
        <v>32</v>
      </c>
      <c r="AA58">
        <v>33</v>
      </c>
      <c r="AB58">
        <v>34</v>
      </c>
      <c r="AC58">
        <v>35</v>
      </c>
      <c r="AD58">
        <v>36</v>
      </c>
      <c r="AE58">
        <v>37</v>
      </c>
      <c r="AF58">
        <v>38</v>
      </c>
      <c r="AG58">
        <v>39</v>
      </c>
      <c r="AH58">
        <v>40</v>
      </c>
      <c r="AI58">
        <v>41</v>
      </c>
      <c r="AJ58">
        <v>42</v>
      </c>
    </row>
    <row r="59" spans="1:36" x14ac:dyDescent="0.25">
      <c r="A59" s="24"/>
      <c r="B59">
        <v>145</v>
      </c>
      <c r="C59" t="s">
        <v>28</v>
      </c>
      <c r="D59">
        <v>10</v>
      </c>
      <c r="E59">
        <v>11</v>
      </c>
      <c r="F59">
        <v>12</v>
      </c>
      <c r="G59">
        <v>13</v>
      </c>
      <c r="H59">
        <v>14</v>
      </c>
      <c r="I59">
        <v>15</v>
      </c>
      <c r="J59">
        <v>16</v>
      </c>
      <c r="K59">
        <v>17</v>
      </c>
      <c r="L59">
        <v>18</v>
      </c>
      <c r="M59">
        <v>19</v>
      </c>
      <c r="N59">
        <v>20</v>
      </c>
      <c r="O59">
        <v>21</v>
      </c>
      <c r="P59">
        <v>22</v>
      </c>
      <c r="Q59">
        <v>23</v>
      </c>
      <c r="R59">
        <v>24</v>
      </c>
      <c r="S59">
        <v>25</v>
      </c>
      <c r="T59">
        <v>26</v>
      </c>
      <c r="U59">
        <v>27</v>
      </c>
      <c r="V59">
        <v>28</v>
      </c>
      <c r="W59">
        <v>29</v>
      </c>
      <c r="X59">
        <v>30</v>
      </c>
      <c r="Y59">
        <v>31</v>
      </c>
      <c r="Z59">
        <v>32</v>
      </c>
      <c r="AA59">
        <v>33</v>
      </c>
      <c r="AB59">
        <v>34</v>
      </c>
      <c r="AC59">
        <v>35</v>
      </c>
      <c r="AD59">
        <v>36</v>
      </c>
      <c r="AE59">
        <v>37</v>
      </c>
      <c r="AF59">
        <v>38</v>
      </c>
      <c r="AG59">
        <v>39</v>
      </c>
      <c r="AH59">
        <v>40</v>
      </c>
      <c r="AI59">
        <v>41</v>
      </c>
      <c r="AJ59">
        <v>42</v>
      </c>
    </row>
    <row r="60" spans="1:36" x14ac:dyDescent="0.25">
      <c r="A60" s="24"/>
      <c r="B60">
        <v>146</v>
      </c>
      <c r="C60" t="s">
        <v>28</v>
      </c>
      <c r="D60">
        <v>10</v>
      </c>
      <c r="E60">
        <v>11</v>
      </c>
      <c r="F60">
        <v>12</v>
      </c>
      <c r="G60">
        <v>13</v>
      </c>
      <c r="H60">
        <v>14</v>
      </c>
      <c r="I60">
        <v>15</v>
      </c>
      <c r="J60">
        <v>16</v>
      </c>
      <c r="K60">
        <v>17</v>
      </c>
      <c r="L60">
        <v>18</v>
      </c>
      <c r="M60">
        <v>19</v>
      </c>
      <c r="N60">
        <v>20</v>
      </c>
      <c r="O60">
        <v>21</v>
      </c>
      <c r="P60">
        <v>22</v>
      </c>
      <c r="Q60">
        <v>23</v>
      </c>
      <c r="R60">
        <v>24</v>
      </c>
      <c r="S60">
        <v>25</v>
      </c>
      <c r="T60">
        <v>26</v>
      </c>
      <c r="U60">
        <v>27</v>
      </c>
      <c r="V60">
        <v>28</v>
      </c>
      <c r="W60">
        <v>29</v>
      </c>
      <c r="X60">
        <v>30</v>
      </c>
      <c r="Y60">
        <v>31</v>
      </c>
      <c r="Z60">
        <v>32</v>
      </c>
      <c r="AA60">
        <v>33</v>
      </c>
      <c r="AB60">
        <v>34</v>
      </c>
      <c r="AC60">
        <v>35</v>
      </c>
      <c r="AD60">
        <v>36</v>
      </c>
      <c r="AE60">
        <v>37</v>
      </c>
      <c r="AF60">
        <v>38</v>
      </c>
      <c r="AG60">
        <v>39</v>
      </c>
      <c r="AH60">
        <v>40</v>
      </c>
      <c r="AI60">
        <v>41</v>
      </c>
      <c r="AJ60">
        <v>42</v>
      </c>
    </row>
    <row r="61" spans="1:36" x14ac:dyDescent="0.25">
      <c r="A61" s="24"/>
      <c r="B61">
        <v>147</v>
      </c>
      <c r="C61" t="s">
        <v>28</v>
      </c>
      <c r="D61">
        <v>10</v>
      </c>
      <c r="E61">
        <v>11</v>
      </c>
      <c r="F61">
        <v>12</v>
      </c>
      <c r="G61">
        <v>13</v>
      </c>
      <c r="H61">
        <v>14</v>
      </c>
      <c r="I61">
        <v>15</v>
      </c>
      <c r="J61">
        <v>16</v>
      </c>
      <c r="K61">
        <v>17</v>
      </c>
      <c r="L61">
        <v>18</v>
      </c>
      <c r="M61">
        <v>19</v>
      </c>
      <c r="N61">
        <v>20</v>
      </c>
      <c r="O61">
        <v>21</v>
      </c>
      <c r="P61">
        <v>22</v>
      </c>
      <c r="Q61">
        <v>23</v>
      </c>
      <c r="R61">
        <v>24</v>
      </c>
      <c r="S61">
        <v>25</v>
      </c>
      <c r="T61">
        <v>26</v>
      </c>
      <c r="U61">
        <v>27</v>
      </c>
      <c r="V61">
        <v>28</v>
      </c>
      <c r="W61">
        <v>29</v>
      </c>
      <c r="X61">
        <v>30</v>
      </c>
      <c r="Y61">
        <v>31</v>
      </c>
      <c r="Z61">
        <v>32</v>
      </c>
      <c r="AA61">
        <v>33</v>
      </c>
      <c r="AB61">
        <v>34</v>
      </c>
      <c r="AC61">
        <v>35</v>
      </c>
      <c r="AD61">
        <v>36</v>
      </c>
      <c r="AE61">
        <v>37</v>
      </c>
      <c r="AF61">
        <v>38</v>
      </c>
      <c r="AG61">
        <v>39</v>
      </c>
      <c r="AH61">
        <v>40</v>
      </c>
      <c r="AI61">
        <v>41</v>
      </c>
      <c r="AJ61">
        <v>42</v>
      </c>
    </row>
    <row r="62" spans="1:36" x14ac:dyDescent="0.25">
      <c r="A62" s="24"/>
      <c r="B62">
        <v>148</v>
      </c>
      <c r="C62" t="s">
        <v>28</v>
      </c>
      <c r="D62">
        <v>10</v>
      </c>
      <c r="E62">
        <v>11</v>
      </c>
      <c r="F62">
        <v>12</v>
      </c>
      <c r="G62">
        <v>13</v>
      </c>
      <c r="H62">
        <v>14</v>
      </c>
      <c r="I62">
        <v>15</v>
      </c>
      <c r="J62">
        <v>16</v>
      </c>
      <c r="K62">
        <v>17</v>
      </c>
      <c r="L62">
        <v>18</v>
      </c>
      <c r="M62">
        <v>19</v>
      </c>
      <c r="N62">
        <v>20</v>
      </c>
      <c r="O62">
        <v>21</v>
      </c>
      <c r="P62">
        <v>22</v>
      </c>
      <c r="Q62">
        <v>23</v>
      </c>
      <c r="R62">
        <v>24</v>
      </c>
      <c r="S62">
        <v>25</v>
      </c>
      <c r="T62">
        <v>26</v>
      </c>
      <c r="U62">
        <v>27</v>
      </c>
      <c r="V62">
        <v>28</v>
      </c>
      <c r="W62">
        <v>29</v>
      </c>
      <c r="X62">
        <v>30</v>
      </c>
      <c r="Y62">
        <v>31</v>
      </c>
      <c r="Z62">
        <v>32</v>
      </c>
      <c r="AA62">
        <v>33</v>
      </c>
      <c r="AB62">
        <v>34</v>
      </c>
      <c r="AC62">
        <v>35</v>
      </c>
      <c r="AD62">
        <v>36</v>
      </c>
      <c r="AE62">
        <v>37</v>
      </c>
      <c r="AF62">
        <v>38</v>
      </c>
      <c r="AG62">
        <v>39</v>
      </c>
      <c r="AH62">
        <v>40</v>
      </c>
      <c r="AI62">
        <v>41</v>
      </c>
      <c r="AJ62">
        <v>42</v>
      </c>
    </row>
    <row r="63" spans="1:36" x14ac:dyDescent="0.25">
      <c r="A63" s="24"/>
      <c r="B63">
        <v>149</v>
      </c>
      <c r="C63" t="s">
        <v>28</v>
      </c>
      <c r="D63">
        <v>10</v>
      </c>
      <c r="E63">
        <v>11</v>
      </c>
      <c r="F63">
        <v>12</v>
      </c>
      <c r="G63">
        <v>13</v>
      </c>
      <c r="H63">
        <v>14</v>
      </c>
      <c r="I63">
        <v>15</v>
      </c>
      <c r="J63">
        <v>16</v>
      </c>
      <c r="K63">
        <v>17</v>
      </c>
      <c r="L63">
        <v>18</v>
      </c>
      <c r="M63">
        <v>19</v>
      </c>
      <c r="N63">
        <v>20</v>
      </c>
      <c r="O63">
        <v>21</v>
      </c>
      <c r="P63">
        <v>22</v>
      </c>
      <c r="Q63">
        <v>23</v>
      </c>
      <c r="R63">
        <v>24</v>
      </c>
      <c r="S63">
        <v>25</v>
      </c>
      <c r="T63">
        <v>26</v>
      </c>
      <c r="U63">
        <v>27</v>
      </c>
      <c r="V63">
        <v>28</v>
      </c>
      <c r="W63">
        <v>29</v>
      </c>
      <c r="X63">
        <v>30</v>
      </c>
      <c r="Y63">
        <v>31</v>
      </c>
      <c r="Z63">
        <v>32</v>
      </c>
      <c r="AA63">
        <v>33</v>
      </c>
      <c r="AB63">
        <v>34</v>
      </c>
      <c r="AC63">
        <v>35</v>
      </c>
      <c r="AD63">
        <v>36</v>
      </c>
      <c r="AE63">
        <v>37</v>
      </c>
      <c r="AF63">
        <v>38</v>
      </c>
      <c r="AG63">
        <v>39</v>
      </c>
      <c r="AH63">
        <v>40</v>
      </c>
      <c r="AI63">
        <v>41</v>
      </c>
      <c r="AJ63">
        <v>42</v>
      </c>
    </row>
    <row r="64" spans="1:36" x14ac:dyDescent="0.25">
      <c r="A64" s="24"/>
      <c r="B64">
        <v>150</v>
      </c>
      <c r="C64" t="s">
        <v>28</v>
      </c>
      <c r="D64">
        <v>10</v>
      </c>
      <c r="E64">
        <v>11</v>
      </c>
      <c r="F64">
        <v>12</v>
      </c>
      <c r="G64">
        <v>13</v>
      </c>
      <c r="H64">
        <v>14</v>
      </c>
      <c r="I64">
        <v>15</v>
      </c>
      <c r="J64">
        <v>16</v>
      </c>
      <c r="K64">
        <v>17</v>
      </c>
      <c r="L64">
        <v>18</v>
      </c>
      <c r="M64">
        <v>19</v>
      </c>
      <c r="N64">
        <v>20</v>
      </c>
      <c r="O64">
        <v>21</v>
      </c>
      <c r="P64">
        <v>22</v>
      </c>
      <c r="Q64">
        <v>23</v>
      </c>
      <c r="R64">
        <v>24</v>
      </c>
      <c r="S64">
        <v>25</v>
      </c>
      <c r="T64">
        <v>26</v>
      </c>
      <c r="U64">
        <v>27</v>
      </c>
      <c r="V64">
        <v>28</v>
      </c>
      <c r="W64">
        <v>29</v>
      </c>
      <c r="X64">
        <v>30</v>
      </c>
      <c r="Y64">
        <v>31</v>
      </c>
      <c r="Z64">
        <v>32</v>
      </c>
      <c r="AA64">
        <v>33</v>
      </c>
      <c r="AB64">
        <v>34</v>
      </c>
      <c r="AC64">
        <v>35</v>
      </c>
      <c r="AD64">
        <v>36</v>
      </c>
      <c r="AE64">
        <v>37</v>
      </c>
      <c r="AF64">
        <v>38</v>
      </c>
      <c r="AG64">
        <v>39</v>
      </c>
      <c r="AH64">
        <v>40</v>
      </c>
      <c r="AI64">
        <v>41</v>
      </c>
      <c r="AJ64">
        <v>42</v>
      </c>
    </row>
    <row r="65" spans="1:36" x14ac:dyDescent="0.25">
      <c r="A65" s="24"/>
      <c r="B65">
        <v>151</v>
      </c>
      <c r="C65" t="s">
        <v>28</v>
      </c>
      <c r="D65">
        <v>10</v>
      </c>
      <c r="E65">
        <v>11</v>
      </c>
      <c r="F65">
        <v>12</v>
      </c>
      <c r="G65">
        <v>13</v>
      </c>
      <c r="H65">
        <v>14</v>
      </c>
      <c r="I65">
        <v>15</v>
      </c>
      <c r="J65">
        <v>16</v>
      </c>
      <c r="K65">
        <v>17</v>
      </c>
      <c r="L65">
        <v>18</v>
      </c>
      <c r="M65">
        <v>19</v>
      </c>
      <c r="N65">
        <v>20</v>
      </c>
      <c r="O65">
        <v>21</v>
      </c>
      <c r="P65">
        <v>22</v>
      </c>
      <c r="Q65">
        <v>23</v>
      </c>
      <c r="R65">
        <v>24</v>
      </c>
      <c r="S65">
        <v>25</v>
      </c>
      <c r="T65">
        <v>26</v>
      </c>
      <c r="U65">
        <v>27</v>
      </c>
      <c r="V65">
        <v>28</v>
      </c>
      <c r="W65">
        <v>29</v>
      </c>
      <c r="X65">
        <v>30</v>
      </c>
      <c r="Y65">
        <v>31</v>
      </c>
      <c r="Z65">
        <v>32</v>
      </c>
      <c r="AA65">
        <v>33</v>
      </c>
      <c r="AB65">
        <v>34</v>
      </c>
      <c r="AC65">
        <v>35</v>
      </c>
      <c r="AD65">
        <v>36</v>
      </c>
      <c r="AE65">
        <v>36</v>
      </c>
      <c r="AF65">
        <v>37</v>
      </c>
      <c r="AG65">
        <v>38</v>
      </c>
      <c r="AH65">
        <v>39</v>
      </c>
      <c r="AI65">
        <v>40</v>
      </c>
      <c r="AJ65">
        <v>41</v>
      </c>
    </row>
    <row r="66" spans="1:36" x14ac:dyDescent="0.25">
      <c r="A66" s="24"/>
      <c r="B66">
        <v>152</v>
      </c>
      <c r="C66" t="s">
        <v>28</v>
      </c>
      <c r="D66">
        <v>10</v>
      </c>
      <c r="E66">
        <v>11</v>
      </c>
      <c r="F66">
        <v>12</v>
      </c>
      <c r="G66">
        <v>13</v>
      </c>
      <c r="H66">
        <v>13</v>
      </c>
      <c r="I66">
        <v>14</v>
      </c>
      <c r="J66">
        <v>15</v>
      </c>
      <c r="K66">
        <v>16</v>
      </c>
      <c r="L66">
        <v>17</v>
      </c>
      <c r="M66">
        <v>18</v>
      </c>
      <c r="N66">
        <v>19</v>
      </c>
      <c r="O66">
        <v>20</v>
      </c>
      <c r="P66">
        <v>21</v>
      </c>
      <c r="Q66">
        <v>22</v>
      </c>
      <c r="R66">
        <v>23</v>
      </c>
      <c r="S66">
        <v>24</v>
      </c>
      <c r="T66">
        <v>25</v>
      </c>
      <c r="U66">
        <v>26</v>
      </c>
      <c r="V66">
        <v>27</v>
      </c>
      <c r="W66">
        <v>28</v>
      </c>
      <c r="X66">
        <v>29</v>
      </c>
      <c r="Y66">
        <v>30</v>
      </c>
      <c r="Z66">
        <v>31</v>
      </c>
      <c r="AA66">
        <v>32</v>
      </c>
      <c r="AB66">
        <v>33</v>
      </c>
      <c r="AC66">
        <v>34</v>
      </c>
      <c r="AD66">
        <v>35</v>
      </c>
      <c r="AE66">
        <v>36</v>
      </c>
      <c r="AF66">
        <v>37</v>
      </c>
      <c r="AG66">
        <v>38</v>
      </c>
      <c r="AH66">
        <v>39</v>
      </c>
      <c r="AI66">
        <v>40</v>
      </c>
      <c r="AJ66">
        <v>41</v>
      </c>
    </row>
    <row r="67" spans="1:36" x14ac:dyDescent="0.25">
      <c r="A67" s="24"/>
      <c r="B67">
        <v>153</v>
      </c>
      <c r="C67" t="s">
        <v>28</v>
      </c>
      <c r="D67" t="s">
        <v>28</v>
      </c>
      <c r="E67">
        <v>10</v>
      </c>
      <c r="F67">
        <v>11</v>
      </c>
      <c r="G67">
        <v>12</v>
      </c>
      <c r="H67">
        <v>13</v>
      </c>
      <c r="I67">
        <v>14</v>
      </c>
      <c r="J67">
        <v>15</v>
      </c>
      <c r="K67">
        <v>16</v>
      </c>
      <c r="L67">
        <v>17</v>
      </c>
      <c r="M67">
        <v>18</v>
      </c>
      <c r="N67">
        <v>19</v>
      </c>
      <c r="O67">
        <v>20</v>
      </c>
      <c r="P67">
        <v>21</v>
      </c>
      <c r="Q67">
        <v>22</v>
      </c>
      <c r="R67">
        <v>23</v>
      </c>
      <c r="S67">
        <v>24</v>
      </c>
      <c r="T67">
        <v>25</v>
      </c>
      <c r="U67">
        <v>26</v>
      </c>
      <c r="V67">
        <v>27</v>
      </c>
      <c r="W67">
        <v>28</v>
      </c>
      <c r="X67">
        <v>29</v>
      </c>
      <c r="Y67">
        <v>30</v>
      </c>
      <c r="Z67">
        <v>31</v>
      </c>
      <c r="AA67">
        <v>32</v>
      </c>
      <c r="AB67">
        <v>33</v>
      </c>
      <c r="AC67">
        <v>34</v>
      </c>
      <c r="AD67">
        <v>35</v>
      </c>
      <c r="AE67">
        <v>36</v>
      </c>
      <c r="AF67">
        <v>37</v>
      </c>
      <c r="AG67">
        <v>38</v>
      </c>
      <c r="AH67">
        <v>39</v>
      </c>
      <c r="AI67">
        <v>40</v>
      </c>
      <c r="AJ67">
        <v>41</v>
      </c>
    </row>
    <row r="68" spans="1:36" x14ac:dyDescent="0.25">
      <c r="A68" s="24"/>
      <c r="B68">
        <v>154</v>
      </c>
      <c r="C68" t="s">
        <v>28</v>
      </c>
      <c r="D68" t="s">
        <v>28</v>
      </c>
      <c r="E68">
        <v>10</v>
      </c>
      <c r="F68">
        <v>11</v>
      </c>
      <c r="G68">
        <v>12</v>
      </c>
      <c r="H68">
        <v>13</v>
      </c>
      <c r="I68">
        <v>14</v>
      </c>
      <c r="J68">
        <v>15</v>
      </c>
      <c r="K68">
        <v>16</v>
      </c>
      <c r="L68">
        <v>17</v>
      </c>
      <c r="M68">
        <v>18</v>
      </c>
      <c r="N68">
        <v>19</v>
      </c>
      <c r="O68">
        <v>20</v>
      </c>
      <c r="P68">
        <v>21</v>
      </c>
      <c r="Q68">
        <v>22</v>
      </c>
      <c r="R68">
        <v>23</v>
      </c>
      <c r="S68">
        <v>24</v>
      </c>
      <c r="T68">
        <v>25</v>
      </c>
      <c r="U68">
        <v>26</v>
      </c>
      <c r="V68">
        <v>27</v>
      </c>
      <c r="W68">
        <v>28</v>
      </c>
      <c r="X68">
        <v>29</v>
      </c>
      <c r="Y68">
        <v>30</v>
      </c>
      <c r="Z68">
        <v>31</v>
      </c>
      <c r="AA68">
        <v>32</v>
      </c>
      <c r="AB68">
        <v>33</v>
      </c>
      <c r="AC68">
        <v>34</v>
      </c>
      <c r="AD68">
        <v>35</v>
      </c>
      <c r="AE68">
        <v>36</v>
      </c>
      <c r="AF68">
        <v>37</v>
      </c>
      <c r="AG68">
        <v>38</v>
      </c>
      <c r="AH68">
        <v>39</v>
      </c>
      <c r="AI68">
        <v>40</v>
      </c>
      <c r="AJ68">
        <v>41</v>
      </c>
    </row>
    <row r="69" spans="1:36" x14ac:dyDescent="0.25">
      <c r="A69" s="24"/>
      <c r="B69">
        <v>155</v>
      </c>
      <c r="C69" t="s">
        <v>28</v>
      </c>
      <c r="D69" t="s">
        <v>28</v>
      </c>
      <c r="E69">
        <v>10</v>
      </c>
      <c r="F69">
        <v>11</v>
      </c>
      <c r="G69">
        <v>12</v>
      </c>
      <c r="H69">
        <v>13</v>
      </c>
      <c r="I69">
        <v>14</v>
      </c>
      <c r="J69">
        <v>15</v>
      </c>
      <c r="K69">
        <v>16</v>
      </c>
      <c r="L69">
        <v>17</v>
      </c>
      <c r="M69">
        <v>18</v>
      </c>
      <c r="N69">
        <v>19</v>
      </c>
      <c r="O69">
        <v>20</v>
      </c>
      <c r="P69">
        <v>21</v>
      </c>
      <c r="Q69">
        <v>22</v>
      </c>
      <c r="R69">
        <v>23</v>
      </c>
      <c r="S69">
        <v>24</v>
      </c>
      <c r="T69">
        <v>25</v>
      </c>
      <c r="U69">
        <v>26</v>
      </c>
      <c r="V69">
        <v>27</v>
      </c>
      <c r="W69">
        <v>28</v>
      </c>
      <c r="X69">
        <v>29</v>
      </c>
      <c r="Y69">
        <v>30</v>
      </c>
      <c r="Z69">
        <v>31</v>
      </c>
      <c r="AA69">
        <v>32</v>
      </c>
      <c r="AB69">
        <v>33</v>
      </c>
      <c r="AC69">
        <v>34</v>
      </c>
      <c r="AD69">
        <v>35</v>
      </c>
      <c r="AE69">
        <v>36</v>
      </c>
      <c r="AF69">
        <v>37</v>
      </c>
      <c r="AG69">
        <v>38</v>
      </c>
      <c r="AH69">
        <v>39</v>
      </c>
      <c r="AI69">
        <v>40</v>
      </c>
      <c r="AJ69">
        <v>41</v>
      </c>
    </row>
    <row r="70" spans="1:36" x14ac:dyDescent="0.25">
      <c r="A70" s="24"/>
      <c r="B70">
        <v>156</v>
      </c>
      <c r="C70" t="s">
        <v>28</v>
      </c>
      <c r="D70" t="s">
        <v>28</v>
      </c>
      <c r="E70">
        <v>10</v>
      </c>
      <c r="F70">
        <v>11</v>
      </c>
      <c r="G70">
        <v>12</v>
      </c>
      <c r="H70">
        <v>13</v>
      </c>
      <c r="I70">
        <v>14</v>
      </c>
      <c r="J70">
        <v>15</v>
      </c>
      <c r="K70">
        <v>16</v>
      </c>
      <c r="L70">
        <v>17</v>
      </c>
      <c r="M70">
        <v>18</v>
      </c>
      <c r="N70">
        <v>19</v>
      </c>
      <c r="O70">
        <v>20</v>
      </c>
      <c r="P70">
        <v>21</v>
      </c>
      <c r="Q70">
        <v>22</v>
      </c>
      <c r="R70">
        <v>23</v>
      </c>
      <c r="S70">
        <v>24</v>
      </c>
      <c r="T70">
        <v>25</v>
      </c>
      <c r="U70">
        <v>26</v>
      </c>
      <c r="V70">
        <v>27</v>
      </c>
      <c r="W70">
        <v>28</v>
      </c>
      <c r="X70">
        <v>29</v>
      </c>
      <c r="Y70">
        <v>30</v>
      </c>
      <c r="Z70">
        <v>31</v>
      </c>
      <c r="AA70">
        <v>32</v>
      </c>
      <c r="AB70">
        <v>33</v>
      </c>
      <c r="AC70">
        <v>34</v>
      </c>
      <c r="AD70">
        <v>35</v>
      </c>
      <c r="AE70">
        <v>36</v>
      </c>
      <c r="AF70">
        <v>37</v>
      </c>
      <c r="AG70">
        <v>38</v>
      </c>
      <c r="AH70">
        <v>39</v>
      </c>
      <c r="AI70">
        <v>40</v>
      </c>
      <c r="AJ70">
        <v>41</v>
      </c>
    </row>
    <row r="71" spans="1:36" x14ac:dyDescent="0.25">
      <c r="A71" s="24"/>
      <c r="B71">
        <v>157</v>
      </c>
      <c r="C71" t="s">
        <v>28</v>
      </c>
      <c r="D71" t="s">
        <v>28</v>
      </c>
      <c r="E71">
        <v>10</v>
      </c>
      <c r="F71">
        <v>11</v>
      </c>
      <c r="G71">
        <v>12</v>
      </c>
      <c r="H71">
        <v>13</v>
      </c>
      <c r="I71">
        <v>14</v>
      </c>
      <c r="J71">
        <v>15</v>
      </c>
      <c r="K71">
        <v>16</v>
      </c>
      <c r="L71">
        <v>17</v>
      </c>
      <c r="M71">
        <v>18</v>
      </c>
      <c r="N71">
        <v>19</v>
      </c>
      <c r="O71">
        <v>20</v>
      </c>
      <c r="P71">
        <v>21</v>
      </c>
      <c r="Q71">
        <v>22</v>
      </c>
      <c r="R71">
        <v>23</v>
      </c>
      <c r="S71">
        <v>24</v>
      </c>
      <c r="T71">
        <v>25</v>
      </c>
      <c r="U71">
        <v>26</v>
      </c>
      <c r="V71">
        <v>27</v>
      </c>
      <c r="W71">
        <v>28</v>
      </c>
      <c r="X71">
        <v>29</v>
      </c>
      <c r="Y71">
        <v>30</v>
      </c>
      <c r="Z71">
        <v>31</v>
      </c>
      <c r="AA71">
        <v>32</v>
      </c>
      <c r="AB71">
        <v>33</v>
      </c>
      <c r="AC71">
        <v>34</v>
      </c>
      <c r="AD71">
        <v>35</v>
      </c>
      <c r="AE71">
        <v>36</v>
      </c>
      <c r="AF71">
        <v>37</v>
      </c>
      <c r="AG71">
        <v>38</v>
      </c>
      <c r="AH71">
        <v>39</v>
      </c>
      <c r="AI71">
        <v>40</v>
      </c>
      <c r="AJ71">
        <v>41</v>
      </c>
    </row>
    <row r="72" spans="1:36" x14ac:dyDescent="0.25">
      <c r="A72" s="24"/>
      <c r="B72">
        <v>158</v>
      </c>
      <c r="C72" t="s">
        <v>28</v>
      </c>
      <c r="D72" t="s">
        <v>28</v>
      </c>
      <c r="E72">
        <v>10</v>
      </c>
      <c r="F72">
        <v>11</v>
      </c>
      <c r="G72">
        <v>12</v>
      </c>
      <c r="H72">
        <v>13</v>
      </c>
      <c r="I72">
        <v>14</v>
      </c>
      <c r="J72">
        <v>15</v>
      </c>
      <c r="K72">
        <v>16</v>
      </c>
      <c r="L72">
        <v>17</v>
      </c>
      <c r="M72">
        <v>18</v>
      </c>
      <c r="N72">
        <v>19</v>
      </c>
      <c r="O72">
        <v>20</v>
      </c>
      <c r="P72">
        <v>21</v>
      </c>
      <c r="Q72">
        <v>22</v>
      </c>
      <c r="R72">
        <v>23</v>
      </c>
      <c r="S72">
        <v>24</v>
      </c>
      <c r="T72">
        <v>25</v>
      </c>
      <c r="U72">
        <v>26</v>
      </c>
      <c r="V72">
        <v>27</v>
      </c>
      <c r="W72">
        <v>28</v>
      </c>
      <c r="X72">
        <v>29</v>
      </c>
      <c r="Y72">
        <v>30</v>
      </c>
      <c r="Z72">
        <v>31</v>
      </c>
      <c r="AA72">
        <v>32</v>
      </c>
      <c r="AB72">
        <v>33</v>
      </c>
      <c r="AC72">
        <v>34</v>
      </c>
      <c r="AD72">
        <v>35</v>
      </c>
      <c r="AE72">
        <v>36</v>
      </c>
      <c r="AF72">
        <v>37</v>
      </c>
      <c r="AG72">
        <v>38</v>
      </c>
      <c r="AH72">
        <v>39</v>
      </c>
      <c r="AI72">
        <v>40</v>
      </c>
      <c r="AJ72">
        <v>41</v>
      </c>
    </row>
    <row r="73" spans="1:36" x14ac:dyDescent="0.25">
      <c r="A73" s="24"/>
      <c r="B73">
        <v>159</v>
      </c>
      <c r="C73" t="s">
        <v>28</v>
      </c>
      <c r="D73" t="s">
        <v>28</v>
      </c>
      <c r="E73">
        <v>10</v>
      </c>
      <c r="F73">
        <v>11</v>
      </c>
      <c r="G73">
        <v>12</v>
      </c>
      <c r="H73">
        <v>13</v>
      </c>
      <c r="I73">
        <v>14</v>
      </c>
      <c r="J73">
        <v>15</v>
      </c>
      <c r="K73">
        <v>16</v>
      </c>
      <c r="L73">
        <v>17</v>
      </c>
      <c r="M73">
        <v>18</v>
      </c>
      <c r="N73">
        <v>19</v>
      </c>
      <c r="O73">
        <v>20</v>
      </c>
      <c r="P73">
        <v>21</v>
      </c>
      <c r="Q73">
        <v>22</v>
      </c>
      <c r="R73">
        <v>23</v>
      </c>
      <c r="S73">
        <v>24</v>
      </c>
      <c r="T73">
        <v>25</v>
      </c>
      <c r="U73">
        <v>26</v>
      </c>
      <c r="V73">
        <v>27</v>
      </c>
      <c r="W73">
        <v>28</v>
      </c>
      <c r="X73">
        <v>29</v>
      </c>
      <c r="Y73">
        <v>30</v>
      </c>
      <c r="Z73">
        <v>31</v>
      </c>
      <c r="AA73">
        <v>32</v>
      </c>
      <c r="AB73">
        <v>33</v>
      </c>
      <c r="AC73">
        <v>34</v>
      </c>
      <c r="AD73">
        <v>35</v>
      </c>
      <c r="AE73">
        <v>36</v>
      </c>
      <c r="AF73">
        <v>37</v>
      </c>
      <c r="AG73">
        <v>38</v>
      </c>
      <c r="AH73">
        <v>39</v>
      </c>
      <c r="AI73">
        <v>40</v>
      </c>
      <c r="AJ73">
        <v>41</v>
      </c>
    </row>
    <row r="74" spans="1:36" x14ac:dyDescent="0.25">
      <c r="A74" s="24"/>
      <c r="B74">
        <v>160</v>
      </c>
      <c r="C74" t="s">
        <v>28</v>
      </c>
      <c r="D74" t="s">
        <v>28</v>
      </c>
      <c r="E74">
        <v>10</v>
      </c>
      <c r="F74">
        <v>11</v>
      </c>
      <c r="G74">
        <v>12</v>
      </c>
      <c r="H74">
        <v>13</v>
      </c>
      <c r="I74">
        <v>14</v>
      </c>
      <c r="J74">
        <v>15</v>
      </c>
      <c r="K74">
        <v>16</v>
      </c>
      <c r="L74">
        <v>17</v>
      </c>
      <c r="M74">
        <v>18</v>
      </c>
      <c r="N74">
        <v>19</v>
      </c>
      <c r="O74">
        <v>20</v>
      </c>
      <c r="P74">
        <v>20</v>
      </c>
      <c r="Q74">
        <v>21</v>
      </c>
      <c r="R74">
        <v>22</v>
      </c>
      <c r="S74">
        <v>23</v>
      </c>
      <c r="T74">
        <v>24</v>
      </c>
      <c r="U74">
        <v>25</v>
      </c>
      <c r="V74">
        <v>26</v>
      </c>
      <c r="W74">
        <v>27</v>
      </c>
      <c r="X74">
        <v>28</v>
      </c>
      <c r="Y74">
        <v>29</v>
      </c>
      <c r="Z74">
        <v>30</v>
      </c>
      <c r="AA74">
        <v>31</v>
      </c>
      <c r="AB74">
        <v>32</v>
      </c>
      <c r="AC74">
        <v>33</v>
      </c>
      <c r="AD74">
        <v>34</v>
      </c>
      <c r="AE74">
        <v>35</v>
      </c>
      <c r="AF74">
        <v>36</v>
      </c>
      <c r="AG74">
        <v>37</v>
      </c>
      <c r="AH74">
        <v>38</v>
      </c>
      <c r="AI74">
        <v>39</v>
      </c>
      <c r="AJ74">
        <v>40</v>
      </c>
    </row>
    <row r="75" spans="1:36" x14ac:dyDescent="0.25">
      <c r="A75" s="24"/>
      <c r="B75">
        <v>161</v>
      </c>
      <c r="C75" t="s">
        <v>28</v>
      </c>
      <c r="D75" t="s">
        <v>28</v>
      </c>
      <c r="E75" t="s">
        <v>28</v>
      </c>
      <c r="F75">
        <v>10</v>
      </c>
      <c r="G75">
        <v>11</v>
      </c>
      <c r="H75">
        <v>12</v>
      </c>
      <c r="I75">
        <v>13</v>
      </c>
      <c r="J75">
        <v>14</v>
      </c>
      <c r="K75">
        <v>15</v>
      </c>
      <c r="L75">
        <v>16</v>
      </c>
      <c r="M75">
        <v>17</v>
      </c>
      <c r="N75">
        <v>18</v>
      </c>
      <c r="O75">
        <v>19</v>
      </c>
      <c r="P75">
        <v>20</v>
      </c>
      <c r="Q75">
        <v>21</v>
      </c>
      <c r="R75">
        <v>22</v>
      </c>
      <c r="S75">
        <v>23</v>
      </c>
      <c r="T75">
        <v>24</v>
      </c>
      <c r="U75">
        <v>25</v>
      </c>
      <c r="V75">
        <v>26</v>
      </c>
      <c r="W75">
        <v>27</v>
      </c>
      <c r="X75">
        <v>28</v>
      </c>
      <c r="Y75">
        <v>29</v>
      </c>
      <c r="Z75">
        <v>30</v>
      </c>
      <c r="AA75">
        <v>31</v>
      </c>
      <c r="AB75">
        <v>32</v>
      </c>
      <c r="AC75">
        <v>33</v>
      </c>
      <c r="AD75">
        <v>34</v>
      </c>
      <c r="AE75">
        <v>35</v>
      </c>
      <c r="AF75">
        <v>36</v>
      </c>
      <c r="AG75">
        <v>37</v>
      </c>
      <c r="AH75">
        <v>38</v>
      </c>
      <c r="AI75">
        <v>39</v>
      </c>
      <c r="AJ75">
        <v>40</v>
      </c>
    </row>
    <row r="76" spans="1:36" x14ac:dyDescent="0.25">
      <c r="A76" s="24"/>
      <c r="B76">
        <v>162</v>
      </c>
      <c r="C76" t="s">
        <v>28</v>
      </c>
      <c r="D76" t="s">
        <v>28</v>
      </c>
      <c r="E76" t="s">
        <v>28</v>
      </c>
      <c r="F76">
        <v>10</v>
      </c>
      <c r="G76">
        <v>11</v>
      </c>
      <c r="H76">
        <v>12</v>
      </c>
      <c r="I76">
        <v>13</v>
      </c>
      <c r="J76">
        <v>14</v>
      </c>
      <c r="K76">
        <v>15</v>
      </c>
      <c r="L76">
        <v>16</v>
      </c>
      <c r="M76">
        <v>17</v>
      </c>
      <c r="N76">
        <v>18</v>
      </c>
      <c r="O76">
        <v>19</v>
      </c>
      <c r="P76">
        <v>20</v>
      </c>
      <c r="Q76">
        <v>21</v>
      </c>
      <c r="R76">
        <v>22</v>
      </c>
      <c r="S76">
        <v>23</v>
      </c>
      <c r="T76">
        <v>24</v>
      </c>
      <c r="U76">
        <v>25</v>
      </c>
      <c r="V76">
        <v>26</v>
      </c>
      <c r="W76">
        <v>27</v>
      </c>
      <c r="X76">
        <v>28</v>
      </c>
      <c r="Y76">
        <v>29</v>
      </c>
      <c r="Z76">
        <v>30</v>
      </c>
      <c r="AA76">
        <v>31</v>
      </c>
      <c r="AB76">
        <v>32</v>
      </c>
      <c r="AC76">
        <v>33</v>
      </c>
      <c r="AD76">
        <v>34</v>
      </c>
      <c r="AE76">
        <v>35</v>
      </c>
      <c r="AF76">
        <v>36</v>
      </c>
      <c r="AG76">
        <v>37</v>
      </c>
      <c r="AH76">
        <v>38</v>
      </c>
      <c r="AI76">
        <v>39</v>
      </c>
      <c r="AJ76">
        <v>40</v>
      </c>
    </row>
    <row r="77" spans="1:36" x14ac:dyDescent="0.25">
      <c r="A77" s="24"/>
      <c r="B77">
        <v>163</v>
      </c>
      <c r="C77" t="s">
        <v>28</v>
      </c>
      <c r="D77" t="s">
        <v>28</v>
      </c>
      <c r="E77" t="s">
        <v>28</v>
      </c>
      <c r="F77">
        <v>10</v>
      </c>
      <c r="G77">
        <v>11</v>
      </c>
      <c r="H77">
        <v>12</v>
      </c>
      <c r="I77">
        <v>13</v>
      </c>
      <c r="J77">
        <v>14</v>
      </c>
      <c r="K77">
        <v>15</v>
      </c>
      <c r="L77">
        <v>16</v>
      </c>
      <c r="M77">
        <v>17</v>
      </c>
      <c r="N77">
        <v>18</v>
      </c>
      <c r="O77">
        <v>19</v>
      </c>
      <c r="P77">
        <v>20</v>
      </c>
      <c r="Q77">
        <v>21</v>
      </c>
      <c r="R77">
        <v>22</v>
      </c>
      <c r="S77">
        <v>23</v>
      </c>
      <c r="T77">
        <v>24</v>
      </c>
      <c r="U77">
        <v>25</v>
      </c>
      <c r="V77">
        <v>26</v>
      </c>
      <c r="W77">
        <v>27</v>
      </c>
      <c r="X77">
        <v>28</v>
      </c>
      <c r="Y77">
        <v>29</v>
      </c>
      <c r="Z77">
        <v>30</v>
      </c>
      <c r="AA77">
        <v>31</v>
      </c>
      <c r="AB77">
        <v>32</v>
      </c>
      <c r="AC77">
        <v>33</v>
      </c>
      <c r="AD77">
        <v>34</v>
      </c>
      <c r="AE77">
        <v>35</v>
      </c>
      <c r="AF77">
        <v>36</v>
      </c>
      <c r="AG77">
        <v>37</v>
      </c>
      <c r="AH77">
        <v>38</v>
      </c>
      <c r="AI77">
        <v>39</v>
      </c>
      <c r="AJ77">
        <v>40</v>
      </c>
    </row>
    <row r="78" spans="1:36" x14ac:dyDescent="0.25">
      <c r="A78" s="24"/>
      <c r="B78">
        <v>164</v>
      </c>
      <c r="C78" t="s">
        <v>28</v>
      </c>
      <c r="D78" t="s">
        <v>28</v>
      </c>
      <c r="E78" t="s">
        <v>28</v>
      </c>
      <c r="F78">
        <v>10</v>
      </c>
      <c r="G78">
        <v>11</v>
      </c>
      <c r="H78">
        <v>12</v>
      </c>
      <c r="I78">
        <v>13</v>
      </c>
      <c r="J78">
        <v>14</v>
      </c>
      <c r="K78">
        <v>15</v>
      </c>
      <c r="L78">
        <v>16</v>
      </c>
      <c r="M78">
        <v>17</v>
      </c>
      <c r="N78">
        <v>18</v>
      </c>
      <c r="O78">
        <v>19</v>
      </c>
      <c r="P78">
        <v>20</v>
      </c>
      <c r="Q78">
        <v>21</v>
      </c>
      <c r="R78">
        <v>22</v>
      </c>
      <c r="S78">
        <v>23</v>
      </c>
      <c r="T78">
        <v>24</v>
      </c>
      <c r="U78">
        <v>25</v>
      </c>
      <c r="V78">
        <v>26</v>
      </c>
      <c r="W78">
        <v>27</v>
      </c>
      <c r="X78">
        <v>28</v>
      </c>
      <c r="Y78">
        <v>29</v>
      </c>
      <c r="Z78">
        <v>30</v>
      </c>
      <c r="AA78">
        <v>31</v>
      </c>
      <c r="AB78">
        <v>32</v>
      </c>
      <c r="AC78">
        <v>33</v>
      </c>
      <c r="AD78">
        <v>34</v>
      </c>
      <c r="AE78">
        <v>35</v>
      </c>
      <c r="AF78">
        <v>36</v>
      </c>
      <c r="AG78">
        <v>37</v>
      </c>
      <c r="AH78">
        <v>38</v>
      </c>
      <c r="AI78">
        <v>39</v>
      </c>
      <c r="AJ78">
        <v>40</v>
      </c>
    </row>
    <row r="79" spans="1:36" x14ac:dyDescent="0.25">
      <c r="A79" s="24"/>
      <c r="B79">
        <v>165</v>
      </c>
      <c r="C79" t="s">
        <v>28</v>
      </c>
      <c r="D79" t="s">
        <v>28</v>
      </c>
      <c r="E79" t="s">
        <v>28</v>
      </c>
      <c r="F79">
        <v>10</v>
      </c>
      <c r="G79">
        <v>11</v>
      </c>
      <c r="H79">
        <v>12</v>
      </c>
      <c r="I79">
        <v>13</v>
      </c>
      <c r="J79">
        <v>14</v>
      </c>
      <c r="K79">
        <v>15</v>
      </c>
      <c r="L79">
        <v>16</v>
      </c>
      <c r="M79">
        <v>17</v>
      </c>
      <c r="N79">
        <v>18</v>
      </c>
      <c r="O79">
        <v>19</v>
      </c>
      <c r="P79">
        <v>20</v>
      </c>
      <c r="Q79">
        <v>21</v>
      </c>
      <c r="R79">
        <v>22</v>
      </c>
      <c r="S79">
        <v>23</v>
      </c>
      <c r="T79">
        <v>24</v>
      </c>
      <c r="U79">
        <v>25</v>
      </c>
      <c r="V79">
        <v>26</v>
      </c>
      <c r="W79">
        <v>27</v>
      </c>
      <c r="X79">
        <v>28</v>
      </c>
      <c r="Y79">
        <v>29</v>
      </c>
      <c r="Z79">
        <v>30</v>
      </c>
      <c r="AA79">
        <v>31</v>
      </c>
      <c r="AB79">
        <v>32</v>
      </c>
      <c r="AC79">
        <v>33</v>
      </c>
      <c r="AD79">
        <v>34</v>
      </c>
      <c r="AE79">
        <v>35</v>
      </c>
      <c r="AF79">
        <v>36</v>
      </c>
      <c r="AG79">
        <v>37</v>
      </c>
      <c r="AH79">
        <v>38</v>
      </c>
      <c r="AI79">
        <v>39</v>
      </c>
      <c r="AJ79">
        <v>40</v>
      </c>
    </row>
    <row r="80" spans="1:36" x14ac:dyDescent="0.25">
      <c r="A80" s="24"/>
      <c r="B80">
        <v>166</v>
      </c>
      <c r="C80" t="s">
        <v>28</v>
      </c>
      <c r="D80" t="s">
        <v>28</v>
      </c>
      <c r="E80" t="s">
        <v>28</v>
      </c>
      <c r="F80">
        <v>10</v>
      </c>
      <c r="G80">
        <v>11</v>
      </c>
      <c r="H80">
        <v>12</v>
      </c>
      <c r="I80">
        <v>13</v>
      </c>
      <c r="J80">
        <v>14</v>
      </c>
      <c r="K80">
        <v>15</v>
      </c>
      <c r="L80">
        <v>16</v>
      </c>
      <c r="M80">
        <v>17</v>
      </c>
      <c r="N80">
        <v>18</v>
      </c>
      <c r="O80">
        <v>19</v>
      </c>
      <c r="P80">
        <v>20</v>
      </c>
      <c r="Q80">
        <v>21</v>
      </c>
      <c r="R80">
        <v>22</v>
      </c>
      <c r="S80">
        <v>23</v>
      </c>
      <c r="T80">
        <v>24</v>
      </c>
      <c r="U80">
        <v>25</v>
      </c>
      <c r="V80">
        <v>26</v>
      </c>
      <c r="W80">
        <v>27</v>
      </c>
      <c r="X80">
        <v>28</v>
      </c>
      <c r="Y80">
        <v>29</v>
      </c>
      <c r="Z80">
        <v>30</v>
      </c>
      <c r="AA80">
        <v>31</v>
      </c>
      <c r="AB80">
        <v>32</v>
      </c>
      <c r="AC80">
        <v>33</v>
      </c>
      <c r="AD80">
        <v>34</v>
      </c>
      <c r="AE80">
        <v>35</v>
      </c>
      <c r="AF80">
        <v>36</v>
      </c>
      <c r="AG80">
        <v>37</v>
      </c>
      <c r="AH80">
        <v>38</v>
      </c>
      <c r="AI80">
        <v>39</v>
      </c>
      <c r="AJ80">
        <v>40</v>
      </c>
    </row>
    <row r="81" spans="1:36" x14ac:dyDescent="0.25">
      <c r="A81" s="24"/>
      <c r="B81">
        <v>167</v>
      </c>
      <c r="C81" t="s">
        <v>28</v>
      </c>
      <c r="D81" t="s">
        <v>28</v>
      </c>
      <c r="E81" t="s">
        <v>28</v>
      </c>
      <c r="F81">
        <v>10</v>
      </c>
      <c r="G81">
        <v>11</v>
      </c>
      <c r="H81">
        <v>12</v>
      </c>
      <c r="I81">
        <v>13</v>
      </c>
      <c r="J81">
        <v>14</v>
      </c>
      <c r="K81">
        <v>15</v>
      </c>
      <c r="L81">
        <v>16</v>
      </c>
      <c r="M81">
        <v>17</v>
      </c>
      <c r="N81">
        <v>18</v>
      </c>
      <c r="O81">
        <v>19</v>
      </c>
      <c r="P81">
        <v>20</v>
      </c>
      <c r="Q81">
        <v>21</v>
      </c>
      <c r="R81">
        <v>22</v>
      </c>
      <c r="S81">
        <v>23</v>
      </c>
      <c r="T81">
        <v>24</v>
      </c>
      <c r="U81">
        <v>25</v>
      </c>
      <c r="V81">
        <v>26</v>
      </c>
      <c r="W81">
        <v>27</v>
      </c>
      <c r="X81">
        <v>28</v>
      </c>
      <c r="Y81">
        <v>29</v>
      </c>
      <c r="Z81">
        <v>30</v>
      </c>
      <c r="AA81">
        <v>31</v>
      </c>
      <c r="AB81">
        <v>32</v>
      </c>
      <c r="AC81">
        <v>33</v>
      </c>
      <c r="AD81">
        <v>34</v>
      </c>
      <c r="AE81">
        <v>35</v>
      </c>
      <c r="AF81">
        <v>36</v>
      </c>
      <c r="AG81">
        <v>37</v>
      </c>
      <c r="AH81">
        <v>38</v>
      </c>
      <c r="AI81">
        <v>39</v>
      </c>
      <c r="AJ81">
        <v>40</v>
      </c>
    </row>
    <row r="82" spans="1:36" x14ac:dyDescent="0.25">
      <c r="A82" s="24"/>
      <c r="B82">
        <v>168</v>
      </c>
      <c r="C82" t="s">
        <v>28</v>
      </c>
      <c r="D82" t="s">
        <v>28</v>
      </c>
      <c r="E82" t="s">
        <v>28</v>
      </c>
      <c r="F82">
        <v>10</v>
      </c>
      <c r="G82">
        <v>11</v>
      </c>
      <c r="H82">
        <v>12</v>
      </c>
      <c r="I82">
        <v>13</v>
      </c>
      <c r="J82">
        <v>14</v>
      </c>
      <c r="K82">
        <v>15</v>
      </c>
      <c r="L82">
        <v>16</v>
      </c>
      <c r="M82">
        <v>17</v>
      </c>
      <c r="N82">
        <v>18</v>
      </c>
      <c r="O82">
        <v>19</v>
      </c>
      <c r="P82">
        <v>20</v>
      </c>
      <c r="Q82">
        <v>21</v>
      </c>
      <c r="R82">
        <v>22</v>
      </c>
      <c r="S82">
        <v>23</v>
      </c>
      <c r="T82">
        <v>24</v>
      </c>
      <c r="U82">
        <v>25</v>
      </c>
      <c r="V82">
        <v>26</v>
      </c>
      <c r="W82">
        <v>26</v>
      </c>
      <c r="X82">
        <v>27</v>
      </c>
      <c r="Y82">
        <v>28</v>
      </c>
      <c r="Z82">
        <v>29</v>
      </c>
      <c r="AA82">
        <v>30</v>
      </c>
      <c r="AB82">
        <v>31</v>
      </c>
      <c r="AC82">
        <v>32</v>
      </c>
      <c r="AD82">
        <v>33</v>
      </c>
      <c r="AE82">
        <v>34</v>
      </c>
      <c r="AF82">
        <v>35</v>
      </c>
      <c r="AG82">
        <v>36</v>
      </c>
      <c r="AH82">
        <v>37</v>
      </c>
      <c r="AI82">
        <v>38</v>
      </c>
      <c r="AJ82">
        <v>39</v>
      </c>
    </row>
    <row r="83" spans="1:36" x14ac:dyDescent="0.25">
      <c r="A83" s="24"/>
      <c r="B83">
        <v>169</v>
      </c>
      <c r="C83" t="s">
        <v>28</v>
      </c>
      <c r="D83" t="s">
        <v>28</v>
      </c>
      <c r="E83" t="s">
        <v>28</v>
      </c>
      <c r="F83" t="s">
        <v>28</v>
      </c>
      <c r="G83">
        <v>10</v>
      </c>
      <c r="H83">
        <v>11</v>
      </c>
      <c r="I83">
        <v>12</v>
      </c>
      <c r="J83">
        <v>13</v>
      </c>
      <c r="K83">
        <v>14</v>
      </c>
      <c r="L83">
        <v>15</v>
      </c>
      <c r="M83">
        <v>16</v>
      </c>
      <c r="N83">
        <v>17</v>
      </c>
      <c r="O83">
        <v>18</v>
      </c>
      <c r="P83">
        <v>19</v>
      </c>
      <c r="Q83">
        <v>20</v>
      </c>
      <c r="R83">
        <v>21</v>
      </c>
      <c r="S83">
        <v>22</v>
      </c>
      <c r="T83">
        <v>23</v>
      </c>
      <c r="U83">
        <v>24</v>
      </c>
      <c r="V83">
        <v>25</v>
      </c>
      <c r="W83">
        <v>26</v>
      </c>
      <c r="X83">
        <v>27</v>
      </c>
      <c r="Y83">
        <v>28</v>
      </c>
      <c r="Z83">
        <v>29</v>
      </c>
      <c r="AA83">
        <v>30</v>
      </c>
      <c r="AB83">
        <v>31</v>
      </c>
      <c r="AC83">
        <v>32</v>
      </c>
      <c r="AD83">
        <v>33</v>
      </c>
      <c r="AE83">
        <v>34</v>
      </c>
      <c r="AF83">
        <v>35</v>
      </c>
      <c r="AG83">
        <v>36</v>
      </c>
      <c r="AH83">
        <v>37</v>
      </c>
      <c r="AI83">
        <v>38</v>
      </c>
      <c r="AJ83">
        <v>39</v>
      </c>
    </row>
    <row r="84" spans="1:36" x14ac:dyDescent="0.25">
      <c r="A84" s="24"/>
      <c r="B84">
        <v>170</v>
      </c>
      <c r="C84" t="s">
        <v>28</v>
      </c>
      <c r="D84" t="s">
        <v>28</v>
      </c>
      <c r="E84" t="s">
        <v>28</v>
      </c>
      <c r="F84" t="s">
        <v>28</v>
      </c>
      <c r="G84">
        <v>10</v>
      </c>
      <c r="H84">
        <v>11</v>
      </c>
      <c r="I84">
        <v>12</v>
      </c>
      <c r="J84">
        <v>13</v>
      </c>
      <c r="K84">
        <v>14</v>
      </c>
      <c r="L84">
        <v>15</v>
      </c>
      <c r="M84">
        <v>16</v>
      </c>
      <c r="N84">
        <v>17</v>
      </c>
      <c r="O84">
        <v>18</v>
      </c>
      <c r="P84">
        <v>19</v>
      </c>
      <c r="Q84">
        <v>20</v>
      </c>
      <c r="R84">
        <v>21</v>
      </c>
      <c r="S84">
        <v>22</v>
      </c>
      <c r="T84">
        <v>23</v>
      </c>
      <c r="U84">
        <v>24</v>
      </c>
      <c r="V84">
        <v>25</v>
      </c>
      <c r="W84">
        <v>26</v>
      </c>
      <c r="X84">
        <v>27</v>
      </c>
      <c r="Y84">
        <v>28</v>
      </c>
      <c r="Z84">
        <v>29</v>
      </c>
      <c r="AA84">
        <v>30</v>
      </c>
      <c r="AB84">
        <v>31</v>
      </c>
      <c r="AC84">
        <v>32</v>
      </c>
      <c r="AD84">
        <v>33</v>
      </c>
      <c r="AE84">
        <v>34</v>
      </c>
      <c r="AF84">
        <v>35</v>
      </c>
      <c r="AG84">
        <v>36</v>
      </c>
      <c r="AH84">
        <v>37</v>
      </c>
      <c r="AI84">
        <v>38</v>
      </c>
      <c r="AJ84">
        <v>39</v>
      </c>
    </row>
    <row r="85" spans="1:36" x14ac:dyDescent="0.25">
      <c r="A85" s="24"/>
      <c r="B85">
        <v>171</v>
      </c>
      <c r="C85" t="s">
        <v>28</v>
      </c>
      <c r="D85" t="s">
        <v>28</v>
      </c>
      <c r="E85" t="s">
        <v>28</v>
      </c>
      <c r="F85" t="s">
        <v>28</v>
      </c>
      <c r="G85">
        <v>10</v>
      </c>
      <c r="H85">
        <v>11</v>
      </c>
      <c r="I85">
        <v>12</v>
      </c>
      <c r="J85">
        <v>13</v>
      </c>
      <c r="K85">
        <v>14</v>
      </c>
      <c r="L85">
        <v>15</v>
      </c>
      <c r="M85">
        <v>16</v>
      </c>
      <c r="N85">
        <v>17</v>
      </c>
      <c r="O85">
        <v>18</v>
      </c>
      <c r="P85">
        <v>19</v>
      </c>
      <c r="Q85">
        <v>20</v>
      </c>
      <c r="R85">
        <v>21</v>
      </c>
      <c r="S85">
        <v>22</v>
      </c>
      <c r="T85">
        <v>23</v>
      </c>
      <c r="U85">
        <v>24</v>
      </c>
      <c r="V85">
        <v>25</v>
      </c>
      <c r="W85">
        <v>26</v>
      </c>
      <c r="X85">
        <v>27</v>
      </c>
      <c r="Y85">
        <v>28</v>
      </c>
      <c r="Z85">
        <v>29</v>
      </c>
      <c r="AA85">
        <v>30</v>
      </c>
      <c r="AB85">
        <v>31</v>
      </c>
      <c r="AC85">
        <v>32</v>
      </c>
      <c r="AD85">
        <v>33</v>
      </c>
      <c r="AE85">
        <v>34</v>
      </c>
      <c r="AF85">
        <v>35</v>
      </c>
      <c r="AG85">
        <v>36</v>
      </c>
      <c r="AH85">
        <v>37</v>
      </c>
      <c r="AI85">
        <v>38</v>
      </c>
      <c r="AJ85">
        <v>39</v>
      </c>
    </row>
    <row r="86" spans="1:36" x14ac:dyDescent="0.25">
      <c r="A86" s="24"/>
      <c r="B86">
        <v>172</v>
      </c>
      <c r="C86" t="s">
        <v>28</v>
      </c>
      <c r="D86" t="s">
        <v>28</v>
      </c>
      <c r="E86" t="s">
        <v>28</v>
      </c>
      <c r="F86" t="s">
        <v>28</v>
      </c>
      <c r="G86">
        <v>10</v>
      </c>
      <c r="H86">
        <v>11</v>
      </c>
      <c r="I86">
        <v>12</v>
      </c>
      <c r="J86">
        <v>13</v>
      </c>
      <c r="K86">
        <v>14</v>
      </c>
      <c r="L86">
        <v>15</v>
      </c>
      <c r="M86">
        <v>16</v>
      </c>
      <c r="N86">
        <v>17</v>
      </c>
      <c r="O86">
        <v>18</v>
      </c>
      <c r="P86">
        <v>19</v>
      </c>
      <c r="Q86">
        <v>20</v>
      </c>
      <c r="R86">
        <v>21</v>
      </c>
      <c r="S86">
        <v>22</v>
      </c>
      <c r="T86">
        <v>23</v>
      </c>
      <c r="U86">
        <v>24</v>
      </c>
      <c r="V86">
        <v>25</v>
      </c>
      <c r="W86">
        <v>26</v>
      </c>
      <c r="X86">
        <v>27</v>
      </c>
      <c r="Y86">
        <v>28</v>
      </c>
      <c r="Z86">
        <v>29</v>
      </c>
      <c r="AA86">
        <v>30</v>
      </c>
      <c r="AB86">
        <v>31</v>
      </c>
      <c r="AC86">
        <v>32</v>
      </c>
      <c r="AD86">
        <v>33</v>
      </c>
      <c r="AE86">
        <v>34</v>
      </c>
      <c r="AF86">
        <v>35</v>
      </c>
      <c r="AG86">
        <v>36</v>
      </c>
      <c r="AH86">
        <v>37</v>
      </c>
      <c r="AI86">
        <v>38</v>
      </c>
      <c r="AJ86">
        <v>39</v>
      </c>
    </row>
    <row r="87" spans="1:36" x14ac:dyDescent="0.25">
      <c r="A87" s="24"/>
      <c r="B87">
        <v>173</v>
      </c>
      <c r="C87" t="s">
        <v>28</v>
      </c>
      <c r="D87" t="s">
        <v>28</v>
      </c>
      <c r="E87" t="s">
        <v>28</v>
      </c>
      <c r="F87" t="s">
        <v>28</v>
      </c>
      <c r="G87">
        <v>10</v>
      </c>
      <c r="H87">
        <v>11</v>
      </c>
      <c r="I87">
        <v>12</v>
      </c>
      <c r="J87">
        <v>13</v>
      </c>
      <c r="K87">
        <v>14</v>
      </c>
      <c r="L87">
        <v>15</v>
      </c>
      <c r="M87">
        <v>16</v>
      </c>
      <c r="N87">
        <v>17</v>
      </c>
      <c r="O87">
        <v>18</v>
      </c>
      <c r="P87">
        <v>19</v>
      </c>
      <c r="Q87">
        <v>20</v>
      </c>
      <c r="R87">
        <v>21</v>
      </c>
      <c r="S87">
        <v>22</v>
      </c>
      <c r="T87">
        <v>23</v>
      </c>
      <c r="U87">
        <v>24</v>
      </c>
      <c r="V87">
        <v>25</v>
      </c>
      <c r="W87">
        <v>26</v>
      </c>
      <c r="X87">
        <v>27</v>
      </c>
      <c r="Y87">
        <v>28</v>
      </c>
      <c r="Z87">
        <v>29</v>
      </c>
      <c r="AA87">
        <v>30</v>
      </c>
      <c r="AB87">
        <v>31</v>
      </c>
      <c r="AC87">
        <v>32</v>
      </c>
      <c r="AD87">
        <v>33</v>
      </c>
      <c r="AE87">
        <v>34</v>
      </c>
      <c r="AF87">
        <v>35</v>
      </c>
      <c r="AG87">
        <v>36</v>
      </c>
      <c r="AH87">
        <v>37</v>
      </c>
      <c r="AI87">
        <v>38</v>
      </c>
      <c r="AJ87">
        <v>39</v>
      </c>
    </row>
    <row r="88" spans="1:36" x14ac:dyDescent="0.25">
      <c r="A88" s="24"/>
      <c r="B88">
        <v>174</v>
      </c>
      <c r="C88" t="s">
        <v>28</v>
      </c>
      <c r="D88" t="s">
        <v>28</v>
      </c>
      <c r="E88" t="s">
        <v>28</v>
      </c>
      <c r="F88" t="s">
        <v>28</v>
      </c>
      <c r="G88">
        <v>10</v>
      </c>
      <c r="H88">
        <v>11</v>
      </c>
      <c r="I88">
        <v>12</v>
      </c>
      <c r="J88">
        <v>13</v>
      </c>
      <c r="K88">
        <v>14</v>
      </c>
      <c r="L88">
        <v>15</v>
      </c>
      <c r="M88">
        <v>16</v>
      </c>
      <c r="N88">
        <v>17</v>
      </c>
      <c r="O88">
        <v>18</v>
      </c>
      <c r="P88">
        <v>19</v>
      </c>
      <c r="Q88">
        <v>20</v>
      </c>
      <c r="R88">
        <v>21</v>
      </c>
      <c r="S88">
        <v>22</v>
      </c>
      <c r="T88">
        <v>23</v>
      </c>
      <c r="U88">
        <v>24</v>
      </c>
      <c r="V88">
        <v>25</v>
      </c>
      <c r="W88">
        <v>26</v>
      </c>
      <c r="X88">
        <v>27</v>
      </c>
      <c r="Y88">
        <v>28</v>
      </c>
      <c r="Z88">
        <v>29</v>
      </c>
      <c r="AA88">
        <v>30</v>
      </c>
      <c r="AB88">
        <v>31</v>
      </c>
      <c r="AC88">
        <v>32</v>
      </c>
      <c r="AD88">
        <v>33</v>
      </c>
      <c r="AE88">
        <v>34</v>
      </c>
      <c r="AF88">
        <v>35</v>
      </c>
      <c r="AG88">
        <v>36</v>
      </c>
      <c r="AH88">
        <v>37</v>
      </c>
      <c r="AI88">
        <v>38</v>
      </c>
      <c r="AJ88">
        <v>39</v>
      </c>
    </row>
    <row r="89" spans="1:36" x14ac:dyDescent="0.25">
      <c r="A89" s="24"/>
      <c r="B89">
        <v>175</v>
      </c>
      <c r="C89" t="s">
        <v>28</v>
      </c>
      <c r="D89" t="s">
        <v>28</v>
      </c>
      <c r="E89" t="s">
        <v>28</v>
      </c>
      <c r="F89" t="s">
        <v>28</v>
      </c>
      <c r="G89">
        <v>10</v>
      </c>
      <c r="H89">
        <v>11</v>
      </c>
      <c r="I89">
        <v>12</v>
      </c>
      <c r="J89">
        <v>13</v>
      </c>
      <c r="K89">
        <v>14</v>
      </c>
      <c r="L89">
        <v>15</v>
      </c>
      <c r="M89">
        <v>16</v>
      </c>
      <c r="N89">
        <v>17</v>
      </c>
      <c r="O89">
        <v>18</v>
      </c>
      <c r="P89">
        <v>19</v>
      </c>
      <c r="Q89">
        <v>20</v>
      </c>
      <c r="R89">
        <v>21</v>
      </c>
      <c r="S89">
        <v>22</v>
      </c>
      <c r="T89">
        <v>23</v>
      </c>
      <c r="U89">
        <v>24</v>
      </c>
      <c r="V89">
        <v>25</v>
      </c>
      <c r="W89">
        <v>26</v>
      </c>
      <c r="X89">
        <v>27</v>
      </c>
      <c r="Y89">
        <v>28</v>
      </c>
      <c r="Z89">
        <v>29</v>
      </c>
      <c r="AA89">
        <v>30</v>
      </c>
      <c r="AB89">
        <v>31</v>
      </c>
      <c r="AC89">
        <v>32</v>
      </c>
      <c r="AD89">
        <v>33</v>
      </c>
      <c r="AE89">
        <v>34</v>
      </c>
      <c r="AF89">
        <v>35</v>
      </c>
      <c r="AG89">
        <v>36</v>
      </c>
      <c r="AH89">
        <v>37</v>
      </c>
      <c r="AI89">
        <v>38</v>
      </c>
      <c r="AJ89">
        <v>39</v>
      </c>
    </row>
    <row r="90" spans="1:36" x14ac:dyDescent="0.25">
      <c r="A90" s="24"/>
      <c r="B90">
        <v>176</v>
      </c>
      <c r="C90" t="s">
        <v>28</v>
      </c>
      <c r="D90" t="s">
        <v>28</v>
      </c>
      <c r="E90" t="s">
        <v>28</v>
      </c>
      <c r="F90" t="s">
        <v>28</v>
      </c>
      <c r="G90">
        <v>10</v>
      </c>
      <c r="H90">
        <v>11</v>
      </c>
      <c r="I90">
        <v>12</v>
      </c>
      <c r="J90">
        <v>13</v>
      </c>
      <c r="K90">
        <v>14</v>
      </c>
      <c r="L90">
        <v>15</v>
      </c>
      <c r="M90">
        <v>16</v>
      </c>
      <c r="N90">
        <v>17</v>
      </c>
      <c r="O90">
        <v>18</v>
      </c>
      <c r="P90">
        <v>19</v>
      </c>
      <c r="Q90">
        <v>20</v>
      </c>
      <c r="R90">
        <v>21</v>
      </c>
      <c r="S90">
        <v>22</v>
      </c>
      <c r="T90">
        <v>23</v>
      </c>
      <c r="U90">
        <v>24</v>
      </c>
      <c r="V90">
        <v>25</v>
      </c>
      <c r="W90">
        <v>26</v>
      </c>
      <c r="X90">
        <v>27</v>
      </c>
      <c r="Y90">
        <v>28</v>
      </c>
      <c r="Z90">
        <v>29</v>
      </c>
      <c r="AA90">
        <v>30</v>
      </c>
      <c r="AB90">
        <v>31</v>
      </c>
      <c r="AC90">
        <v>32</v>
      </c>
      <c r="AD90">
        <v>33</v>
      </c>
      <c r="AE90">
        <v>34</v>
      </c>
      <c r="AF90">
        <v>34</v>
      </c>
      <c r="AG90">
        <v>35</v>
      </c>
      <c r="AH90">
        <v>36</v>
      </c>
      <c r="AI90">
        <v>37</v>
      </c>
      <c r="AJ90">
        <v>38</v>
      </c>
    </row>
    <row r="91" spans="1:36" x14ac:dyDescent="0.25">
      <c r="A91" s="24"/>
      <c r="B91">
        <v>177</v>
      </c>
      <c r="C91" t="s">
        <v>28</v>
      </c>
      <c r="D91" t="s">
        <v>28</v>
      </c>
      <c r="E91" t="s">
        <v>28</v>
      </c>
      <c r="F91" t="s">
        <v>28</v>
      </c>
      <c r="G91">
        <v>10</v>
      </c>
      <c r="H91">
        <v>10</v>
      </c>
      <c r="I91">
        <v>11</v>
      </c>
      <c r="J91">
        <v>12</v>
      </c>
      <c r="K91">
        <v>13</v>
      </c>
      <c r="L91">
        <v>14</v>
      </c>
      <c r="M91">
        <v>15</v>
      </c>
      <c r="N91">
        <v>16</v>
      </c>
      <c r="O91">
        <v>17</v>
      </c>
      <c r="P91">
        <v>18</v>
      </c>
      <c r="Q91">
        <v>19</v>
      </c>
      <c r="R91">
        <v>20</v>
      </c>
      <c r="S91">
        <v>21</v>
      </c>
      <c r="T91">
        <v>22</v>
      </c>
      <c r="U91">
        <v>23</v>
      </c>
      <c r="V91">
        <v>24</v>
      </c>
      <c r="W91">
        <v>25</v>
      </c>
      <c r="X91">
        <v>26</v>
      </c>
      <c r="Y91">
        <v>27</v>
      </c>
      <c r="Z91">
        <v>28</v>
      </c>
      <c r="AA91">
        <v>29</v>
      </c>
      <c r="AB91">
        <v>30</v>
      </c>
      <c r="AC91">
        <v>31</v>
      </c>
      <c r="AD91">
        <v>32</v>
      </c>
      <c r="AE91">
        <v>33</v>
      </c>
      <c r="AF91">
        <v>34</v>
      </c>
      <c r="AG91">
        <v>35</v>
      </c>
      <c r="AH91">
        <v>36</v>
      </c>
      <c r="AI91">
        <v>37</v>
      </c>
      <c r="AJ91">
        <v>38</v>
      </c>
    </row>
    <row r="92" spans="1:36" x14ac:dyDescent="0.25">
      <c r="A92" s="24"/>
      <c r="B92">
        <v>178</v>
      </c>
      <c r="C92" t="s">
        <v>28</v>
      </c>
      <c r="D92" t="s">
        <v>28</v>
      </c>
      <c r="E92" t="s">
        <v>28</v>
      </c>
      <c r="F92" t="s">
        <v>28</v>
      </c>
      <c r="G92" t="s">
        <v>28</v>
      </c>
      <c r="H92">
        <v>10</v>
      </c>
      <c r="I92">
        <v>11</v>
      </c>
      <c r="J92">
        <v>12</v>
      </c>
      <c r="K92">
        <v>13</v>
      </c>
      <c r="L92">
        <v>14</v>
      </c>
      <c r="M92">
        <v>15</v>
      </c>
      <c r="N92">
        <v>16</v>
      </c>
      <c r="O92">
        <v>17</v>
      </c>
      <c r="P92">
        <v>18</v>
      </c>
      <c r="Q92">
        <v>19</v>
      </c>
      <c r="R92">
        <v>20</v>
      </c>
      <c r="S92">
        <v>21</v>
      </c>
      <c r="T92">
        <v>22</v>
      </c>
      <c r="U92">
        <v>23</v>
      </c>
      <c r="V92">
        <v>24</v>
      </c>
      <c r="W92">
        <v>25</v>
      </c>
      <c r="X92">
        <v>26</v>
      </c>
      <c r="Y92">
        <v>27</v>
      </c>
      <c r="Z92">
        <v>28</v>
      </c>
      <c r="AA92">
        <v>29</v>
      </c>
      <c r="AB92">
        <v>30</v>
      </c>
      <c r="AC92">
        <v>31</v>
      </c>
      <c r="AD92">
        <v>32</v>
      </c>
      <c r="AE92">
        <v>33</v>
      </c>
      <c r="AF92">
        <v>34</v>
      </c>
      <c r="AG92">
        <v>35</v>
      </c>
      <c r="AH92">
        <v>36</v>
      </c>
      <c r="AI92">
        <v>37</v>
      </c>
      <c r="AJ92">
        <v>38</v>
      </c>
    </row>
    <row r="93" spans="1:36" x14ac:dyDescent="0.25">
      <c r="A93" s="24"/>
      <c r="B93">
        <v>179</v>
      </c>
      <c r="C93" t="s">
        <v>28</v>
      </c>
      <c r="D93" t="s">
        <v>28</v>
      </c>
      <c r="E93" t="s">
        <v>28</v>
      </c>
      <c r="F93" t="s">
        <v>28</v>
      </c>
      <c r="G93" t="s">
        <v>28</v>
      </c>
      <c r="H93">
        <v>10</v>
      </c>
      <c r="I93">
        <v>11</v>
      </c>
      <c r="J93">
        <v>12</v>
      </c>
      <c r="K93">
        <v>13</v>
      </c>
      <c r="L93">
        <v>14</v>
      </c>
      <c r="M93">
        <v>15</v>
      </c>
      <c r="N93">
        <v>16</v>
      </c>
      <c r="O93">
        <v>17</v>
      </c>
      <c r="P93">
        <v>18</v>
      </c>
      <c r="Q93">
        <v>19</v>
      </c>
      <c r="R93">
        <v>20</v>
      </c>
      <c r="S93">
        <v>21</v>
      </c>
      <c r="T93">
        <v>22</v>
      </c>
      <c r="U93">
        <v>23</v>
      </c>
      <c r="V93">
        <v>24</v>
      </c>
      <c r="W93">
        <v>25</v>
      </c>
      <c r="X93">
        <v>26</v>
      </c>
      <c r="Y93">
        <v>27</v>
      </c>
      <c r="Z93">
        <v>28</v>
      </c>
      <c r="AA93">
        <v>29</v>
      </c>
      <c r="AB93">
        <v>30</v>
      </c>
      <c r="AC93">
        <v>31</v>
      </c>
      <c r="AD93">
        <v>32</v>
      </c>
      <c r="AE93">
        <v>33</v>
      </c>
      <c r="AF93">
        <v>34</v>
      </c>
      <c r="AG93">
        <v>35</v>
      </c>
      <c r="AH93">
        <v>36</v>
      </c>
      <c r="AI93">
        <v>37</v>
      </c>
      <c r="AJ93">
        <v>38</v>
      </c>
    </row>
    <row r="94" spans="1:36" x14ac:dyDescent="0.25">
      <c r="A94" s="24"/>
      <c r="B94">
        <v>180</v>
      </c>
      <c r="C94" t="s">
        <v>28</v>
      </c>
      <c r="D94" t="s">
        <v>28</v>
      </c>
      <c r="E94" t="s">
        <v>28</v>
      </c>
      <c r="F94" t="s">
        <v>28</v>
      </c>
      <c r="G94" t="s">
        <v>28</v>
      </c>
      <c r="H94">
        <v>10</v>
      </c>
      <c r="I94">
        <v>11</v>
      </c>
      <c r="J94">
        <v>12</v>
      </c>
      <c r="K94">
        <v>13</v>
      </c>
      <c r="L94">
        <v>14</v>
      </c>
      <c r="M94">
        <v>15</v>
      </c>
      <c r="N94">
        <v>16</v>
      </c>
      <c r="O94">
        <v>17</v>
      </c>
      <c r="P94">
        <v>18</v>
      </c>
      <c r="Q94">
        <v>19</v>
      </c>
      <c r="R94">
        <v>20</v>
      </c>
      <c r="S94">
        <v>21</v>
      </c>
      <c r="T94">
        <v>22</v>
      </c>
      <c r="U94">
        <v>23</v>
      </c>
      <c r="V94">
        <v>24</v>
      </c>
      <c r="W94">
        <v>25</v>
      </c>
      <c r="X94">
        <v>26</v>
      </c>
      <c r="Y94">
        <v>27</v>
      </c>
      <c r="Z94">
        <v>28</v>
      </c>
      <c r="AA94">
        <v>29</v>
      </c>
      <c r="AB94">
        <v>30</v>
      </c>
      <c r="AC94">
        <v>31</v>
      </c>
      <c r="AD94">
        <v>32</v>
      </c>
      <c r="AE94">
        <v>33</v>
      </c>
      <c r="AF94">
        <v>34</v>
      </c>
      <c r="AG94">
        <v>35</v>
      </c>
      <c r="AH94">
        <v>36</v>
      </c>
      <c r="AI94">
        <v>37</v>
      </c>
      <c r="AJ94">
        <v>38</v>
      </c>
    </row>
    <row r="95" spans="1:36" x14ac:dyDescent="0.25">
      <c r="A95" s="24"/>
      <c r="B95">
        <v>181</v>
      </c>
      <c r="C95" t="s">
        <v>28</v>
      </c>
      <c r="D95" t="s">
        <v>28</v>
      </c>
      <c r="E95" t="s">
        <v>28</v>
      </c>
      <c r="F95" t="s">
        <v>28</v>
      </c>
      <c r="G95" t="s">
        <v>28</v>
      </c>
      <c r="H95">
        <v>10</v>
      </c>
      <c r="I95">
        <v>11</v>
      </c>
      <c r="J95">
        <v>12</v>
      </c>
      <c r="K95">
        <v>13</v>
      </c>
      <c r="L95">
        <v>14</v>
      </c>
      <c r="M95">
        <v>15</v>
      </c>
      <c r="N95">
        <v>16</v>
      </c>
      <c r="O95">
        <v>17</v>
      </c>
      <c r="P95">
        <v>18</v>
      </c>
      <c r="Q95">
        <v>19</v>
      </c>
      <c r="R95">
        <v>20</v>
      </c>
      <c r="S95">
        <v>21</v>
      </c>
      <c r="T95">
        <v>22</v>
      </c>
      <c r="U95">
        <v>23</v>
      </c>
      <c r="V95">
        <v>24</v>
      </c>
      <c r="W95">
        <v>25</v>
      </c>
      <c r="X95">
        <v>26</v>
      </c>
      <c r="Y95">
        <v>27</v>
      </c>
      <c r="Z95">
        <v>28</v>
      </c>
      <c r="AA95">
        <v>29</v>
      </c>
      <c r="AB95">
        <v>30</v>
      </c>
      <c r="AC95">
        <v>31</v>
      </c>
      <c r="AD95">
        <v>32</v>
      </c>
      <c r="AE95">
        <v>33</v>
      </c>
      <c r="AF95">
        <v>34</v>
      </c>
      <c r="AG95">
        <v>35</v>
      </c>
      <c r="AH95">
        <v>36</v>
      </c>
      <c r="AI95">
        <v>37</v>
      </c>
      <c r="AJ95">
        <v>38</v>
      </c>
    </row>
    <row r="96" spans="1:36" x14ac:dyDescent="0.25">
      <c r="A96" s="24"/>
      <c r="B96">
        <v>182</v>
      </c>
      <c r="C96" t="s">
        <v>28</v>
      </c>
      <c r="D96" t="s">
        <v>28</v>
      </c>
      <c r="E96" t="s">
        <v>28</v>
      </c>
      <c r="F96" t="s">
        <v>28</v>
      </c>
      <c r="G96" t="s">
        <v>28</v>
      </c>
      <c r="H96">
        <v>10</v>
      </c>
      <c r="I96">
        <v>11</v>
      </c>
      <c r="J96">
        <v>12</v>
      </c>
      <c r="K96">
        <v>13</v>
      </c>
      <c r="L96">
        <v>14</v>
      </c>
      <c r="M96">
        <v>15</v>
      </c>
      <c r="N96">
        <v>16</v>
      </c>
      <c r="O96">
        <v>17</v>
      </c>
      <c r="P96">
        <v>18</v>
      </c>
      <c r="Q96">
        <v>19</v>
      </c>
      <c r="R96">
        <v>20</v>
      </c>
      <c r="S96">
        <v>21</v>
      </c>
      <c r="T96">
        <v>22</v>
      </c>
      <c r="U96">
        <v>23</v>
      </c>
      <c r="V96">
        <v>24</v>
      </c>
      <c r="W96">
        <v>25</v>
      </c>
      <c r="X96">
        <v>26</v>
      </c>
      <c r="Y96">
        <v>27</v>
      </c>
      <c r="Z96">
        <v>28</v>
      </c>
      <c r="AA96">
        <v>29</v>
      </c>
      <c r="AB96">
        <v>30</v>
      </c>
      <c r="AC96">
        <v>31</v>
      </c>
      <c r="AD96">
        <v>32</v>
      </c>
      <c r="AE96">
        <v>33</v>
      </c>
      <c r="AF96">
        <v>34</v>
      </c>
      <c r="AG96">
        <v>35</v>
      </c>
      <c r="AH96">
        <v>36</v>
      </c>
      <c r="AI96">
        <v>37</v>
      </c>
      <c r="AJ96">
        <v>38</v>
      </c>
    </row>
    <row r="97" spans="1:36" x14ac:dyDescent="0.25">
      <c r="A97" s="24"/>
      <c r="B97">
        <v>183</v>
      </c>
      <c r="C97" t="s">
        <v>28</v>
      </c>
      <c r="D97" t="s">
        <v>28</v>
      </c>
      <c r="E97" t="s">
        <v>28</v>
      </c>
      <c r="F97" t="s">
        <v>28</v>
      </c>
      <c r="G97" t="s">
        <v>28</v>
      </c>
      <c r="H97">
        <v>10</v>
      </c>
      <c r="I97">
        <v>11</v>
      </c>
      <c r="J97">
        <v>12</v>
      </c>
      <c r="K97">
        <v>13</v>
      </c>
      <c r="L97">
        <v>14</v>
      </c>
      <c r="M97">
        <v>15</v>
      </c>
      <c r="N97">
        <v>16</v>
      </c>
      <c r="O97">
        <v>17</v>
      </c>
      <c r="P97">
        <v>18</v>
      </c>
      <c r="Q97">
        <v>19</v>
      </c>
      <c r="R97">
        <v>20</v>
      </c>
      <c r="S97">
        <v>21</v>
      </c>
      <c r="T97">
        <v>22</v>
      </c>
      <c r="U97">
        <v>23</v>
      </c>
      <c r="V97">
        <v>24</v>
      </c>
      <c r="W97">
        <v>25</v>
      </c>
      <c r="X97">
        <v>26</v>
      </c>
      <c r="Y97">
        <v>27</v>
      </c>
      <c r="Z97">
        <v>28</v>
      </c>
      <c r="AA97">
        <v>29</v>
      </c>
      <c r="AB97">
        <v>30</v>
      </c>
      <c r="AC97">
        <v>31</v>
      </c>
      <c r="AD97">
        <v>32</v>
      </c>
      <c r="AE97">
        <v>33</v>
      </c>
      <c r="AF97">
        <v>34</v>
      </c>
      <c r="AG97">
        <v>35</v>
      </c>
      <c r="AH97">
        <v>36</v>
      </c>
      <c r="AI97">
        <v>37</v>
      </c>
      <c r="AJ97">
        <v>38</v>
      </c>
    </row>
    <row r="98" spans="1:36" x14ac:dyDescent="0.25">
      <c r="A98" s="24"/>
      <c r="B98">
        <v>184</v>
      </c>
      <c r="C98" t="s">
        <v>28</v>
      </c>
      <c r="D98" t="s">
        <v>28</v>
      </c>
      <c r="E98" t="s">
        <v>28</v>
      </c>
      <c r="F98" t="s">
        <v>28</v>
      </c>
      <c r="G98" t="s">
        <v>28</v>
      </c>
      <c r="H98">
        <v>10</v>
      </c>
      <c r="I98">
        <v>11</v>
      </c>
      <c r="J98">
        <v>12</v>
      </c>
      <c r="K98">
        <v>13</v>
      </c>
      <c r="L98">
        <v>14</v>
      </c>
      <c r="M98">
        <v>15</v>
      </c>
      <c r="N98">
        <v>16</v>
      </c>
      <c r="O98">
        <v>17</v>
      </c>
      <c r="P98">
        <v>18</v>
      </c>
      <c r="Q98">
        <v>19</v>
      </c>
      <c r="R98">
        <v>20</v>
      </c>
      <c r="S98">
        <v>21</v>
      </c>
      <c r="T98">
        <v>22</v>
      </c>
      <c r="U98">
        <v>23</v>
      </c>
      <c r="V98">
        <v>24</v>
      </c>
      <c r="W98">
        <v>25</v>
      </c>
      <c r="X98">
        <v>26</v>
      </c>
      <c r="Y98">
        <v>27</v>
      </c>
      <c r="Z98">
        <v>28</v>
      </c>
      <c r="AA98">
        <v>29</v>
      </c>
      <c r="AB98">
        <v>30</v>
      </c>
      <c r="AC98">
        <v>31</v>
      </c>
      <c r="AD98">
        <v>32</v>
      </c>
      <c r="AE98">
        <v>33</v>
      </c>
      <c r="AF98">
        <v>34</v>
      </c>
      <c r="AG98">
        <v>35</v>
      </c>
      <c r="AH98">
        <v>36</v>
      </c>
      <c r="AI98">
        <v>37</v>
      </c>
      <c r="AJ98">
        <v>38</v>
      </c>
    </row>
    <row r="99" spans="1:36" x14ac:dyDescent="0.25">
      <c r="A99" s="24"/>
      <c r="B99">
        <v>185</v>
      </c>
      <c r="C99" t="s">
        <v>28</v>
      </c>
      <c r="D99" t="s">
        <v>28</v>
      </c>
      <c r="E99" t="s">
        <v>28</v>
      </c>
      <c r="F99" t="s">
        <v>28</v>
      </c>
      <c r="G99" t="s">
        <v>28</v>
      </c>
      <c r="H99">
        <v>10</v>
      </c>
      <c r="I99">
        <v>11</v>
      </c>
      <c r="J99">
        <v>12</v>
      </c>
      <c r="K99">
        <v>13</v>
      </c>
      <c r="L99">
        <v>14</v>
      </c>
      <c r="M99">
        <v>15</v>
      </c>
      <c r="N99">
        <v>16</v>
      </c>
      <c r="O99">
        <v>16</v>
      </c>
      <c r="P99">
        <v>17</v>
      </c>
      <c r="Q99">
        <v>18</v>
      </c>
      <c r="R99">
        <v>19</v>
      </c>
      <c r="S99">
        <v>20</v>
      </c>
      <c r="T99">
        <v>21</v>
      </c>
      <c r="U99">
        <v>22</v>
      </c>
      <c r="V99">
        <v>23</v>
      </c>
      <c r="W99">
        <v>24</v>
      </c>
      <c r="X99">
        <v>25</v>
      </c>
      <c r="Y99">
        <v>26</v>
      </c>
      <c r="Z99">
        <v>27</v>
      </c>
      <c r="AA99">
        <v>28</v>
      </c>
      <c r="AB99">
        <v>29</v>
      </c>
      <c r="AC99">
        <v>30</v>
      </c>
      <c r="AD99">
        <v>31</v>
      </c>
      <c r="AE99">
        <v>32</v>
      </c>
      <c r="AF99">
        <v>33</v>
      </c>
      <c r="AG99">
        <v>34</v>
      </c>
      <c r="AH99">
        <v>35</v>
      </c>
      <c r="AI99">
        <v>36</v>
      </c>
      <c r="AJ99">
        <v>37</v>
      </c>
    </row>
    <row r="100" spans="1:36" x14ac:dyDescent="0.25">
      <c r="A100" s="24"/>
      <c r="B100">
        <v>186</v>
      </c>
      <c r="C100" t="s">
        <v>28</v>
      </c>
      <c r="D100" t="s">
        <v>28</v>
      </c>
      <c r="E100" t="s">
        <v>28</v>
      </c>
      <c r="F100" t="s">
        <v>28</v>
      </c>
      <c r="G100" t="s">
        <v>28</v>
      </c>
      <c r="H100" t="s">
        <v>28</v>
      </c>
      <c r="I100">
        <v>10</v>
      </c>
      <c r="J100">
        <v>11</v>
      </c>
      <c r="K100">
        <v>12</v>
      </c>
      <c r="L100">
        <v>13</v>
      </c>
      <c r="M100">
        <v>14</v>
      </c>
      <c r="N100">
        <v>15</v>
      </c>
      <c r="O100">
        <v>16</v>
      </c>
      <c r="P100">
        <v>17</v>
      </c>
      <c r="Q100">
        <v>18</v>
      </c>
      <c r="R100">
        <v>19</v>
      </c>
      <c r="S100">
        <v>20</v>
      </c>
      <c r="T100">
        <v>21</v>
      </c>
      <c r="U100">
        <v>22</v>
      </c>
      <c r="V100">
        <v>23</v>
      </c>
      <c r="W100">
        <v>24</v>
      </c>
      <c r="X100">
        <v>25</v>
      </c>
      <c r="Y100">
        <v>26</v>
      </c>
      <c r="Z100">
        <v>27</v>
      </c>
      <c r="AA100">
        <v>28</v>
      </c>
      <c r="AB100">
        <v>29</v>
      </c>
      <c r="AC100">
        <v>30</v>
      </c>
      <c r="AD100">
        <v>31</v>
      </c>
      <c r="AE100">
        <v>32</v>
      </c>
      <c r="AF100">
        <v>33</v>
      </c>
      <c r="AG100">
        <v>34</v>
      </c>
      <c r="AH100">
        <v>35</v>
      </c>
      <c r="AI100">
        <v>36</v>
      </c>
      <c r="AJ100">
        <v>37</v>
      </c>
    </row>
    <row r="101" spans="1:36" x14ac:dyDescent="0.25">
      <c r="A101" s="24"/>
      <c r="B101">
        <v>187</v>
      </c>
      <c r="C101" t="s">
        <v>28</v>
      </c>
      <c r="D101" t="s">
        <v>28</v>
      </c>
      <c r="E101" t="s">
        <v>28</v>
      </c>
      <c r="F101" t="s">
        <v>28</v>
      </c>
      <c r="G101" t="s">
        <v>28</v>
      </c>
      <c r="H101" t="s">
        <v>28</v>
      </c>
      <c r="I101">
        <v>10</v>
      </c>
      <c r="J101">
        <v>11</v>
      </c>
      <c r="K101">
        <v>12</v>
      </c>
      <c r="L101">
        <v>13</v>
      </c>
      <c r="M101">
        <v>14</v>
      </c>
      <c r="N101">
        <v>15</v>
      </c>
      <c r="O101">
        <v>16</v>
      </c>
      <c r="P101">
        <v>17</v>
      </c>
      <c r="Q101">
        <v>18</v>
      </c>
      <c r="R101">
        <v>19</v>
      </c>
      <c r="S101">
        <v>20</v>
      </c>
      <c r="T101">
        <v>21</v>
      </c>
      <c r="U101">
        <v>22</v>
      </c>
      <c r="V101">
        <v>23</v>
      </c>
      <c r="W101">
        <v>24</v>
      </c>
      <c r="X101">
        <v>25</v>
      </c>
      <c r="Y101">
        <v>26</v>
      </c>
      <c r="Z101">
        <v>27</v>
      </c>
      <c r="AA101">
        <v>28</v>
      </c>
      <c r="AB101">
        <v>29</v>
      </c>
      <c r="AC101">
        <v>30</v>
      </c>
      <c r="AD101">
        <v>31</v>
      </c>
      <c r="AE101">
        <v>32</v>
      </c>
      <c r="AF101">
        <v>33</v>
      </c>
      <c r="AG101">
        <v>34</v>
      </c>
      <c r="AH101">
        <v>35</v>
      </c>
      <c r="AI101">
        <v>36</v>
      </c>
      <c r="AJ101">
        <v>37</v>
      </c>
    </row>
    <row r="102" spans="1:36" x14ac:dyDescent="0.25">
      <c r="A102" s="24"/>
      <c r="B102">
        <v>188</v>
      </c>
      <c r="C102" t="s">
        <v>28</v>
      </c>
      <c r="D102" t="s">
        <v>28</v>
      </c>
      <c r="E102" t="s">
        <v>28</v>
      </c>
      <c r="F102" t="s">
        <v>28</v>
      </c>
      <c r="G102" t="s">
        <v>28</v>
      </c>
      <c r="H102" t="s">
        <v>28</v>
      </c>
      <c r="I102">
        <v>10</v>
      </c>
      <c r="J102">
        <v>11</v>
      </c>
      <c r="K102">
        <v>12</v>
      </c>
      <c r="L102">
        <v>13</v>
      </c>
      <c r="M102">
        <v>14</v>
      </c>
      <c r="N102">
        <v>15</v>
      </c>
      <c r="O102">
        <v>16</v>
      </c>
      <c r="P102">
        <v>17</v>
      </c>
      <c r="Q102">
        <v>18</v>
      </c>
      <c r="R102">
        <v>19</v>
      </c>
      <c r="S102">
        <v>20</v>
      </c>
      <c r="T102">
        <v>21</v>
      </c>
      <c r="U102">
        <v>22</v>
      </c>
      <c r="V102">
        <v>23</v>
      </c>
      <c r="W102">
        <v>24</v>
      </c>
      <c r="X102">
        <v>25</v>
      </c>
      <c r="Y102">
        <v>26</v>
      </c>
      <c r="Z102">
        <v>27</v>
      </c>
      <c r="AA102">
        <v>28</v>
      </c>
      <c r="AB102">
        <v>29</v>
      </c>
      <c r="AC102">
        <v>30</v>
      </c>
      <c r="AD102">
        <v>31</v>
      </c>
      <c r="AE102">
        <v>32</v>
      </c>
      <c r="AF102">
        <v>33</v>
      </c>
      <c r="AG102">
        <v>34</v>
      </c>
      <c r="AH102">
        <v>35</v>
      </c>
      <c r="AI102">
        <v>36</v>
      </c>
      <c r="AJ102">
        <v>37</v>
      </c>
    </row>
    <row r="103" spans="1:36" x14ac:dyDescent="0.25">
      <c r="A103" s="24"/>
      <c r="B103">
        <v>189</v>
      </c>
      <c r="C103" t="s">
        <v>28</v>
      </c>
      <c r="D103" t="s">
        <v>28</v>
      </c>
      <c r="E103" t="s">
        <v>28</v>
      </c>
      <c r="F103" t="s">
        <v>28</v>
      </c>
      <c r="G103" t="s">
        <v>28</v>
      </c>
      <c r="H103" t="s">
        <v>28</v>
      </c>
      <c r="I103">
        <v>10</v>
      </c>
      <c r="J103">
        <v>11</v>
      </c>
      <c r="K103">
        <v>12</v>
      </c>
      <c r="L103">
        <v>13</v>
      </c>
      <c r="M103">
        <v>14</v>
      </c>
      <c r="N103">
        <v>15</v>
      </c>
      <c r="O103">
        <v>16</v>
      </c>
      <c r="P103">
        <v>17</v>
      </c>
      <c r="Q103">
        <v>18</v>
      </c>
      <c r="R103">
        <v>19</v>
      </c>
      <c r="S103">
        <v>20</v>
      </c>
      <c r="T103">
        <v>21</v>
      </c>
      <c r="U103">
        <v>22</v>
      </c>
      <c r="V103">
        <v>23</v>
      </c>
      <c r="W103">
        <v>24</v>
      </c>
      <c r="X103">
        <v>25</v>
      </c>
      <c r="Y103">
        <v>26</v>
      </c>
      <c r="Z103">
        <v>27</v>
      </c>
      <c r="AA103">
        <v>28</v>
      </c>
      <c r="AB103">
        <v>29</v>
      </c>
      <c r="AC103">
        <v>30</v>
      </c>
      <c r="AD103">
        <v>31</v>
      </c>
      <c r="AE103">
        <v>32</v>
      </c>
      <c r="AF103">
        <v>33</v>
      </c>
      <c r="AG103">
        <v>34</v>
      </c>
      <c r="AH103">
        <v>35</v>
      </c>
      <c r="AI103">
        <v>36</v>
      </c>
      <c r="AJ103">
        <v>37</v>
      </c>
    </row>
    <row r="104" spans="1:36" x14ac:dyDescent="0.25">
      <c r="A104" s="24"/>
      <c r="B104">
        <v>190</v>
      </c>
      <c r="C104" t="s">
        <v>28</v>
      </c>
      <c r="D104" t="s">
        <v>28</v>
      </c>
      <c r="E104" t="s">
        <v>28</v>
      </c>
      <c r="F104" t="s">
        <v>28</v>
      </c>
      <c r="G104" t="s">
        <v>28</v>
      </c>
      <c r="H104" t="s">
        <v>28</v>
      </c>
      <c r="I104">
        <v>10</v>
      </c>
      <c r="J104">
        <v>11</v>
      </c>
      <c r="K104">
        <v>12</v>
      </c>
      <c r="L104">
        <v>13</v>
      </c>
      <c r="M104">
        <v>14</v>
      </c>
      <c r="N104">
        <v>15</v>
      </c>
      <c r="O104">
        <v>16</v>
      </c>
      <c r="P104">
        <v>17</v>
      </c>
      <c r="Q104">
        <v>18</v>
      </c>
      <c r="R104">
        <v>19</v>
      </c>
      <c r="S104">
        <v>20</v>
      </c>
      <c r="T104">
        <v>21</v>
      </c>
      <c r="U104">
        <v>22</v>
      </c>
      <c r="V104">
        <v>23</v>
      </c>
      <c r="W104">
        <v>24</v>
      </c>
      <c r="X104">
        <v>25</v>
      </c>
      <c r="Y104">
        <v>26</v>
      </c>
      <c r="Z104">
        <v>27</v>
      </c>
      <c r="AA104">
        <v>28</v>
      </c>
      <c r="AB104">
        <v>29</v>
      </c>
      <c r="AC104">
        <v>30</v>
      </c>
      <c r="AD104">
        <v>31</v>
      </c>
      <c r="AE104">
        <v>32</v>
      </c>
      <c r="AF104">
        <v>33</v>
      </c>
      <c r="AG104">
        <v>34</v>
      </c>
      <c r="AH104">
        <v>35</v>
      </c>
      <c r="AI104">
        <v>36</v>
      </c>
      <c r="AJ104">
        <v>37</v>
      </c>
    </row>
    <row r="105" spans="1:36" x14ac:dyDescent="0.25">
      <c r="A105" s="24"/>
      <c r="B105">
        <v>191</v>
      </c>
      <c r="C105" t="s">
        <v>28</v>
      </c>
      <c r="D105" t="s">
        <v>28</v>
      </c>
      <c r="E105" t="s">
        <v>28</v>
      </c>
      <c r="F105" t="s">
        <v>28</v>
      </c>
      <c r="G105" t="s">
        <v>28</v>
      </c>
      <c r="H105" t="s">
        <v>28</v>
      </c>
      <c r="I105">
        <v>10</v>
      </c>
      <c r="J105">
        <v>11</v>
      </c>
      <c r="K105">
        <v>12</v>
      </c>
      <c r="L105">
        <v>13</v>
      </c>
      <c r="M105">
        <v>14</v>
      </c>
      <c r="N105">
        <v>15</v>
      </c>
      <c r="O105">
        <v>16</v>
      </c>
      <c r="P105">
        <v>17</v>
      </c>
      <c r="Q105">
        <v>18</v>
      </c>
      <c r="R105">
        <v>19</v>
      </c>
      <c r="S105">
        <v>20</v>
      </c>
      <c r="T105">
        <v>21</v>
      </c>
      <c r="U105">
        <v>22</v>
      </c>
      <c r="V105">
        <v>23</v>
      </c>
      <c r="W105">
        <v>24</v>
      </c>
      <c r="X105">
        <v>25</v>
      </c>
      <c r="Y105">
        <v>26</v>
      </c>
      <c r="Z105">
        <v>27</v>
      </c>
      <c r="AA105">
        <v>28</v>
      </c>
      <c r="AB105">
        <v>29</v>
      </c>
      <c r="AC105">
        <v>30</v>
      </c>
      <c r="AD105">
        <v>31</v>
      </c>
      <c r="AE105">
        <v>32</v>
      </c>
      <c r="AF105">
        <v>33</v>
      </c>
      <c r="AG105">
        <v>34</v>
      </c>
      <c r="AH105">
        <v>35</v>
      </c>
      <c r="AI105">
        <v>36</v>
      </c>
      <c r="AJ105">
        <v>37</v>
      </c>
    </row>
    <row r="106" spans="1:36" x14ac:dyDescent="0.25">
      <c r="A106" s="24"/>
      <c r="B106">
        <v>192</v>
      </c>
      <c r="C106" t="s">
        <v>28</v>
      </c>
      <c r="D106" t="s">
        <v>28</v>
      </c>
      <c r="E106" t="s">
        <v>28</v>
      </c>
      <c r="F106" t="s">
        <v>28</v>
      </c>
      <c r="G106" t="s">
        <v>28</v>
      </c>
      <c r="H106" t="s">
        <v>28</v>
      </c>
      <c r="I106">
        <v>10</v>
      </c>
      <c r="J106">
        <v>11</v>
      </c>
      <c r="K106">
        <v>12</v>
      </c>
      <c r="L106">
        <v>13</v>
      </c>
      <c r="M106">
        <v>14</v>
      </c>
      <c r="N106">
        <v>15</v>
      </c>
      <c r="O106">
        <v>16</v>
      </c>
      <c r="P106">
        <v>17</v>
      </c>
      <c r="Q106">
        <v>18</v>
      </c>
      <c r="R106">
        <v>19</v>
      </c>
      <c r="S106">
        <v>20</v>
      </c>
      <c r="T106">
        <v>21</v>
      </c>
      <c r="U106">
        <v>22</v>
      </c>
      <c r="V106">
        <v>23</v>
      </c>
      <c r="W106">
        <v>24</v>
      </c>
      <c r="X106">
        <v>25</v>
      </c>
      <c r="Y106">
        <v>26</v>
      </c>
      <c r="Z106">
        <v>27</v>
      </c>
      <c r="AA106">
        <v>28</v>
      </c>
      <c r="AB106">
        <v>29</v>
      </c>
      <c r="AC106">
        <v>30</v>
      </c>
      <c r="AD106">
        <v>31</v>
      </c>
      <c r="AE106">
        <v>32</v>
      </c>
      <c r="AF106">
        <v>33</v>
      </c>
      <c r="AG106">
        <v>34</v>
      </c>
      <c r="AH106">
        <v>35</v>
      </c>
      <c r="AI106">
        <v>36</v>
      </c>
      <c r="AJ106">
        <v>37</v>
      </c>
    </row>
    <row r="107" spans="1:36" x14ac:dyDescent="0.25">
      <c r="A107" s="24"/>
      <c r="B107">
        <v>193</v>
      </c>
      <c r="C107" t="s">
        <v>28</v>
      </c>
      <c r="D107" t="s">
        <v>28</v>
      </c>
      <c r="E107" t="s">
        <v>28</v>
      </c>
      <c r="F107" t="s">
        <v>28</v>
      </c>
      <c r="G107" t="s">
        <v>28</v>
      </c>
      <c r="H107" t="s">
        <v>28</v>
      </c>
      <c r="I107">
        <v>10</v>
      </c>
      <c r="J107">
        <v>11</v>
      </c>
      <c r="K107">
        <v>12</v>
      </c>
      <c r="L107">
        <v>13</v>
      </c>
      <c r="M107">
        <v>14</v>
      </c>
      <c r="N107">
        <v>15</v>
      </c>
      <c r="O107">
        <v>16</v>
      </c>
      <c r="P107">
        <v>17</v>
      </c>
      <c r="Q107">
        <v>18</v>
      </c>
      <c r="R107">
        <v>19</v>
      </c>
      <c r="S107">
        <v>20</v>
      </c>
      <c r="T107">
        <v>21</v>
      </c>
      <c r="U107">
        <v>22</v>
      </c>
      <c r="V107">
        <v>23</v>
      </c>
      <c r="W107">
        <v>24</v>
      </c>
      <c r="X107">
        <v>24</v>
      </c>
      <c r="Y107">
        <v>25</v>
      </c>
      <c r="Z107">
        <v>26</v>
      </c>
      <c r="AA107">
        <v>27</v>
      </c>
      <c r="AB107">
        <v>28</v>
      </c>
      <c r="AC107">
        <v>29</v>
      </c>
      <c r="AD107">
        <v>30</v>
      </c>
      <c r="AE107">
        <v>31</v>
      </c>
      <c r="AF107">
        <v>32</v>
      </c>
      <c r="AG107">
        <v>33</v>
      </c>
      <c r="AH107">
        <v>34</v>
      </c>
      <c r="AI107">
        <v>35</v>
      </c>
      <c r="AJ107">
        <v>36</v>
      </c>
    </row>
    <row r="108" spans="1:36" x14ac:dyDescent="0.25">
      <c r="A108" s="24"/>
      <c r="B108">
        <v>194</v>
      </c>
      <c r="C108" t="s">
        <v>28</v>
      </c>
      <c r="D108" t="s">
        <v>28</v>
      </c>
      <c r="E108" t="s">
        <v>28</v>
      </c>
      <c r="F108" t="s">
        <v>28</v>
      </c>
      <c r="G108" t="s">
        <v>28</v>
      </c>
      <c r="H108" t="s">
        <v>28</v>
      </c>
      <c r="I108" t="s">
        <v>28</v>
      </c>
      <c r="J108">
        <v>10</v>
      </c>
      <c r="K108">
        <v>11</v>
      </c>
      <c r="L108">
        <v>12</v>
      </c>
      <c r="M108">
        <v>13</v>
      </c>
      <c r="N108">
        <v>14</v>
      </c>
      <c r="O108">
        <v>15</v>
      </c>
      <c r="P108">
        <v>16</v>
      </c>
      <c r="Q108">
        <v>17</v>
      </c>
      <c r="R108">
        <v>18</v>
      </c>
      <c r="S108">
        <v>19</v>
      </c>
      <c r="T108">
        <v>20</v>
      </c>
      <c r="U108">
        <v>21</v>
      </c>
      <c r="V108">
        <v>22</v>
      </c>
      <c r="W108">
        <v>23</v>
      </c>
      <c r="X108">
        <v>24</v>
      </c>
      <c r="Y108">
        <v>25</v>
      </c>
      <c r="Z108">
        <v>26</v>
      </c>
      <c r="AA108">
        <v>27</v>
      </c>
      <c r="AB108">
        <v>28</v>
      </c>
      <c r="AC108">
        <v>29</v>
      </c>
      <c r="AD108">
        <v>30</v>
      </c>
      <c r="AE108">
        <v>31</v>
      </c>
      <c r="AF108">
        <v>32</v>
      </c>
      <c r="AG108">
        <v>33</v>
      </c>
      <c r="AH108">
        <v>34</v>
      </c>
      <c r="AI108">
        <v>35</v>
      </c>
      <c r="AJ108">
        <v>36</v>
      </c>
    </row>
    <row r="109" spans="1:36" x14ac:dyDescent="0.25">
      <c r="A109" s="24"/>
      <c r="B109">
        <v>195</v>
      </c>
      <c r="C109" t="s">
        <v>28</v>
      </c>
      <c r="D109" t="s">
        <v>28</v>
      </c>
      <c r="E109" t="s">
        <v>28</v>
      </c>
      <c r="F109" t="s">
        <v>28</v>
      </c>
      <c r="G109" t="s">
        <v>28</v>
      </c>
      <c r="H109" t="s">
        <v>28</v>
      </c>
      <c r="I109" t="s">
        <v>28</v>
      </c>
      <c r="J109">
        <v>10</v>
      </c>
      <c r="K109">
        <v>11</v>
      </c>
      <c r="L109">
        <v>12</v>
      </c>
      <c r="M109">
        <v>13</v>
      </c>
      <c r="N109">
        <v>14</v>
      </c>
      <c r="O109">
        <v>15</v>
      </c>
      <c r="P109">
        <v>16</v>
      </c>
      <c r="Q109">
        <v>17</v>
      </c>
      <c r="R109">
        <v>18</v>
      </c>
      <c r="S109">
        <v>19</v>
      </c>
      <c r="T109">
        <v>20</v>
      </c>
      <c r="U109">
        <v>21</v>
      </c>
      <c r="V109">
        <v>22</v>
      </c>
      <c r="W109">
        <v>23</v>
      </c>
      <c r="X109">
        <v>24</v>
      </c>
      <c r="Y109">
        <v>25</v>
      </c>
      <c r="Z109">
        <v>26</v>
      </c>
      <c r="AA109">
        <v>27</v>
      </c>
      <c r="AB109">
        <v>28</v>
      </c>
      <c r="AC109">
        <v>29</v>
      </c>
      <c r="AD109">
        <v>30</v>
      </c>
      <c r="AE109">
        <v>31</v>
      </c>
      <c r="AF109">
        <v>32</v>
      </c>
      <c r="AG109">
        <v>33</v>
      </c>
      <c r="AH109">
        <v>34</v>
      </c>
      <c r="AI109">
        <v>35</v>
      </c>
      <c r="AJ109">
        <v>36</v>
      </c>
    </row>
    <row r="110" spans="1:36" x14ac:dyDescent="0.25">
      <c r="A110" s="24"/>
      <c r="B110">
        <v>196</v>
      </c>
      <c r="C110" t="s">
        <v>28</v>
      </c>
      <c r="D110" t="s">
        <v>28</v>
      </c>
      <c r="E110" t="s">
        <v>28</v>
      </c>
      <c r="F110" t="s">
        <v>28</v>
      </c>
      <c r="G110" t="s">
        <v>28</v>
      </c>
      <c r="H110" t="s">
        <v>28</v>
      </c>
      <c r="I110" t="s">
        <v>28</v>
      </c>
      <c r="J110">
        <v>10</v>
      </c>
      <c r="K110">
        <v>11</v>
      </c>
      <c r="L110">
        <v>12</v>
      </c>
      <c r="M110">
        <v>13</v>
      </c>
      <c r="N110">
        <v>14</v>
      </c>
      <c r="O110">
        <v>15</v>
      </c>
      <c r="P110">
        <v>16</v>
      </c>
      <c r="Q110">
        <v>17</v>
      </c>
      <c r="R110">
        <v>18</v>
      </c>
      <c r="S110">
        <v>19</v>
      </c>
      <c r="T110">
        <v>20</v>
      </c>
      <c r="U110">
        <v>21</v>
      </c>
      <c r="V110">
        <v>22</v>
      </c>
      <c r="W110">
        <v>23</v>
      </c>
      <c r="X110">
        <v>24</v>
      </c>
      <c r="Y110">
        <v>25</v>
      </c>
      <c r="Z110">
        <v>26</v>
      </c>
      <c r="AA110">
        <v>27</v>
      </c>
      <c r="AB110">
        <v>28</v>
      </c>
      <c r="AC110">
        <v>29</v>
      </c>
      <c r="AD110">
        <v>30</v>
      </c>
      <c r="AE110">
        <v>31</v>
      </c>
      <c r="AF110">
        <v>32</v>
      </c>
      <c r="AG110">
        <v>33</v>
      </c>
      <c r="AH110">
        <v>34</v>
      </c>
      <c r="AI110">
        <v>35</v>
      </c>
      <c r="AJ110">
        <v>36</v>
      </c>
    </row>
    <row r="111" spans="1:36" x14ac:dyDescent="0.25">
      <c r="A111" s="24"/>
      <c r="B111">
        <v>197</v>
      </c>
      <c r="C111" t="s">
        <v>28</v>
      </c>
      <c r="D111" t="s">
        <v>28</v>
      </c>
      <c r="E111" t="s">
        <v>28</v>
      </c>
      <c r="F111" t="s">
        <v>28</v>
      </c>
      <c r="G111" t="s">
        <v>28</v>
      </c>
      <c r="H111" t="s">
        <v>28</v>
      </c>
      <c r="I111" t="s">
        <v>28</v>
      </c>
      <c r="J111">
        <v>10</v>
      </c>
      <c r="K111">
        <v>11</v>
      </c>
      <c r="L111">
        <v>12</v>
      </c>
      <c r="M111">
        <v>13</v>
      </c>
      <c r="N111">
        <v>14</v>
      </c>
      <c r="O111">
        <v>15</v>
      </c>
      <c r="P111">
        <v>16</v>
      </c>
      <c r="Q111">
        <v>17</v>
      </c>
      <c r="R111">
        <v>18</v>
      </c>
      <c r="S111">
        <v>19</v>
      </c>
      <c r="T111">
        <v>20</v>
      </c>
      <c r="U111">
        <v>21</v>
      </c>
      <c r="V111">
        <v>22</v>
      </c>
      <c r="W111">
        <v>23</v>
      </c>
      <c r="X111">
        <v>24</v>
      </c>
      <c r="Y111">
        <v>25</v>
      </c>
      <c r="Z111">
        <v>26</v>
      </c>
      <c r="AA111">
        <v>27</v>
      </c>
      <c r="AB111">
        <v>28</v>
      </c>
      <c r="AC111">
        <v>29</v>
      </c>
      <c r="AD111">
        <v>30</v>
      </c>
      <c r="AE111">
        <v>31</v>
      </c>
      <c r="AF111">
        <v>32</v>
      </c>
      <c r="AG111">
        <v>33</v>
      </c>
      <c r="AH111">
        <v>34</v>
      </c>
      <c r="AI111">
        <v>35</v>
      </c>
      <c r="AJ111">
        <v>36</v>
      </c>
    </row>
    <row r="112" spans="1:36" x14ac:dyDescent="0.25">
      <c r="A112" s="24"/>
      <c r="B112">
        <v>198</v>
      </c>
      <c r="C112" t="s">
        <v>28</v>
      </c>
      <c r="D112" t="s">
        <v>28</v>
      </c>
      <c r="E112" t="s">
        <v>28</v>
      </c>
      <c r="F112" t="s">
        <v>28</v>
      </c>
      <c r="G112" t="s">
        <v>28</v>
      </c>
      <c r="H112" t="s">
        <v>28</v>
      </c>
      <c r="I112" t="s">
        <v>28</v>
      </c>
      <c r="J112">
        <v>10</v>
      </c>
      <c r="K112">
        <v>11</v>
      </c>
      <c r="L112">
        <v>12</v>
      </c>
      <c r="M112">
        <v>13</v>
      </c>
      <c r="N112">
        <v>14</v>
      </c>
      <c r="O112">
        <v>15</v>
      </c>
      <c r="P112">
        <v>16</v>
      </c>
      <c r="Q112">
        <v>17</v>
      </c>
      <c r="R112">
        <v>18</v>
      </c>
      <c r="S112">
        <v>19</v>
      </c>
      <c r="T112">
        <v>20</v>
      </c>
      <c r="U112">
        <v>21</v>
      </c>
      <c r="V112">
        <v>22</v>
      </c>
      <c r="W112">
        <v>23</v>
      </c>
      <c r="X112">
        <v>24</v>
      </c>
      <c r="Y112">
        <v>25</v>
      </c>
      <c r="Z112">
        <v>26</v>
      </c>
      <c r="AA112">
        <v>27</v>
      </c>
      <c r="AB112">
        <v>28</v>
      </c>
      <c r="AC112">
        <v>29</v>
      </c>
      <c r="AD112">
        <v>30</v>
      </c>
      <c r="AE112">
        <v>31</v>
      </c>
      <c r="AF112">
        <v>32</v>
      </c>
      <c r="AG112">
        <v>33</v>
      </c>
      <c r="AH112">
        <v>34</v>
      </c>
      <c r="AI112">
        <v>35</v>
      </c>
      <c r="AJ112">
        <v>36</v>
      </c>
    </row>
    <row r="113" spans="1:36" x14ac:dyDescent="0.25">
      <c r="A113" s="24"/>
      <c r="B113">
        <v>199</v>
      </c>
      <c r="C113" t="s">
        <v>28</v>
      </c>
      <c r="D113" t="s">
        <v>28</v>
      </c>
      <c r="E113" t="s">
        <v>28</v>
      </c>
      <c r="F113" t="s">
        <v>28</v>
      </c>
      <c r="G113" t="s">
        <v>28</v>
      </c>
      <c r="H113" t="s">
        <v>28</v>
      </c>
      <c r="I113" t="s">
        <v>28</v>
      </c>
      <c r="J113">
        <v>10</v>
      </c>
      <c r="K113">
        <v>11</v>
      </c>
      <c r="L113">
        <v>12</v>
      </c>
      <c r="M113">
        <v>13</v>
      </c>
      <c r="N113">
        <v>14</v>
      </c>
      <c r="O113">
        <v>15</v>
      </c>
      <c r="P113">
        <v>16</v>
      </c>
      <c r="Q113">
        <v>17</v>
      </c>
      <c r="R113">
        <v>18</v>
      </c>
      <c r="S113">
        <v>19</v>
      </c>
      <c r="T113">
        <v>20</v>
      </c>
      <c r="U113">
        <v>21</v>
      </c>
      <c r="V113">
        <v>22</v>
      </c>
      <c r="W113">
        <v>23</v>
      </c>
      <c r="X113">
        <v>24</v>
      </c>
      <c r="Y113">
        <v>25</v>
      </c>
      <c r="Z113">
        <v>26</v>
      </c>
      <c r="AA113">
        <v>27</v>
      </c>
      <c r="AB113">
        <v>28</v>
      </c>
      <c r="AC113">
        <v>29</v>
      </c>
      <c r="AD113">
        <v>30</v>
      </c>
      <c r="AE113">
        <v>31</v>
      </c>
      <c r="AF113">
        <v>32</v>
      </c>
      <c r="AG113">
        <v>33</v>
      </c>
      <c r="AH113">
        <v>34</v>
      </c>
      <c r="AI113">
        <v>35</v>
      </c>
      <c r="AJ113">
        <v>36</v>
      </c>
    </row>
    <row r="114" spans="1:36" x14ac:dyDescent="0.25">
      <c r="A114" s="24"/>
      <c r="B114">
        <v>200</v>
      </c>
      <c r="C114" t="s">
        <v>28</v>
      </c>
      <c r="D114" t="s">
        <v>28</v>
      </c>
      <c r="E114" t="s">
        <v>28</v>
      </c>
      <c r="F114" t="s">
        <v>28</v>
      </c>
      <c r="G114" t="s">
        <v>28</v>
      </c>
      <c r="H114" t="s">
        <v>28</v>
      </c>
      <c r="I114" t="s">
        <v>28</v>
      </c>
      <c r="J114">
        <v>10</v>
      </c>
      <c r="K114">
        <v>11</v>
      </c>
      <c r="L114">
        <v>12</v>
      </c>
      <c r="M114">
        <v>13</v>
      </c>
      <c r="N114">
        <v>14</v>
      </c>
      <c r="O114">
        <v>15</v>
      </c>
      <c r="P114">
        <v>16</v>
      </c>
      <c r="Q114">
        <v>17</v>
      </c>
      <c r="R114">
        <v>18</v>
      </c>
      <c r="S114">
        <v>19</v>
      </c>
      <c r="T114">
        <v>20</v>
      </c>
      <c r="U114">
        <v>21</v>
      </c>
      <c r="V114">
        <v>22</v>
      </c>
      <c r="W114">
        <v>23</v>
      </c>
      <c r="X114">
        <v>24</v>
      </c>
      <c r="Y114">
        <v>25</v>
      </c>
      <c r="Z114">
        <v>26</v>
      </c>
      <c r="AA114">
        <v>27</v>
      </c>
      <c r="AB114">
        <v>28</v>
      </c>
      <c r="AC114">
        <v>29</v>
      </c>
      <c r="AD114">
        <v>30</v>
      </c>
      <c r="AE114">
        <v>31</v>
      </c>
      <c r="AF114">
        <v>32</v>
      </c>
      <c r="AG114">
        <v>33</v>
      </c>
      <c r="AH114">
        <v>34</v>
      </c>
      <c r="AI114">
        <v>35</v>
      </c>
      <c r="AJ114">
        <v>36</v>
      </c>
    </row>
    <row r="115" spans="1:36" x14ac:dyDescent="0.25">
      <c r="A115" s="24"/>
      <c r="B115">
        <v>201</v>
      </c>
      <c r="C115" t="s">
        <v>28</v>
      </c>
      <c r="D115" t="s">
        <v>28</v>
      </c>
      <c r="E115" t="s">
        <v>28</v>
      </c>
      <c r="F115" t="s">
        <v>28</v>
      </c>
      <c r="G115" t="s">
        <v>28</v>
      </c>
      <c r="H115" t="s">
        <v>28</v>
      </c>
      <c r="I115" t="s">
        <v>28</v>
      </c>
      <c r="J115">
        <v>10</v>
      </c>
      <c r="K115">
        <v>11</v>
      </c>
      <c r="L115">
        <v>12</v>
      </c>
      <c r="M115">
        <v>13</v>
      </c>
      <c r="N115">
        <v>14</v>
      </c>
      <c r="O115">
        <v>15</v>
      </c>
      <c r="P115">
        <v>16</v>
      </c>
      <c r="Q115">
        <v>17</v>
      </c>
      <c r="R115">
        <v>18</v>
      </c>
      <c r="S115">
        <v>19</v>
      </c>
      <c r="T115">
        <v>20</v>
      </c>
      <c r="U115">
        <v>21</v>
      </c>
      <c r="V115">
        <v>22</v>
      </c>
      <c r="W115">
        <v>23</v>
      </c>
      <c r="X115">
        <v>24</v>
      </c>
      <c r="Y115">
        <v>25</v>
      </c>
      <c r="Z115">
        <v>26</v>
      </c>
      <c r="AA115">
        <v>27</v>
      </c>
      <c r="AB115">
        <v>28</v>
      </c>
      <c r="AC115">
        <v>29</v>
      </c>
      <c r="AD115">
        <v>30</v>
      </c>
      <c r="AE115">
        <v>31</v>
      </c>
      <c r="AF115">
        <v>31</v>
      </c>
      <c r="AG115">
        <v>32</v>
      </c>
      <c r="AH115">
        <v>33</v>
      </c>
      <c r="AI115">
        <v>34</v>
      </c>
      <c r="AJ115">
        <v>35</v>
      </c>
    </row>
    <row r="116" spans="1:36" x14ac:dyDescent="0.25">
      <c r="A116" s="24"/>
      <c r="B116">
        <v>202</v>
      </c>
      <c r="C116" t="s">
        <v>28</v>
      </c>
      <c r="D116" t="s">
        <v>28</v>
      </c>
      <c r="E116" t="s">
        <v>28</v>
      </c>
      <c r="F116" t="s">
        <v>28</v>
      </c>
      <c r="G116" t="s">
        <v>28</v>
      </c>
      <c r="H116" t="s">
        <v>28</v>
      </c>
      <c r="I116" t="s">
        <v>28</v>
      </c>
      <c r="J116" t="s">
        <v>28</v>
      </c>
      <c r="K116">
        <v>10</v>
      </c>
      <c r="L116">
        <v>11</v>
      </c>
      <c r="M116">
        <v>12</v>
      </c>
      <c r="N116">
        <v>13</v>
      </c>
      <c r="O116">
        <v>14</v>
      </c>
      <c r="P116">
        <v>15</v>
      </c>
      <c r="Q116">
        <v>16</v>
      </c>
      <c r="R116">
        <v>17</v>
      </c>
      <c r="S116">
        <v>18</v>
      </c>
      <c r="T116">
        <v>19</v>
      </c>
      <c r="U116">
        <v>20</v>
      </c>
      <c r="V116">
        <v>21</v>
      </c>
      <c r="W116">
        <v>22</v>
      </c>
      <c r="X116">
        <v>23</v>
      </c>
      <c r="Y116">
        <v>24</v>
      </c>
      <c r="Z116">
        <v>25</v>
      </c>
      <c r="AA116">
        <v>26</v>
      </c>
      <c r="AB116">
        <v>27</v>
      </c>
      <c r="AC116">
        <v>28</v>
      </c>
      <c r="AD116">
        <v>29</v>
      </c>
      <c r="AE116">
        <v>30</v>
      </c>
      <c r="AF116">
        <v>31</v>
      </c>
      <c r="AG116">
        <v>32</v>
      </c>
      <c r="AH116">
        <v>33</v>
      </c>
      <c r="AI116">
        <v>34</v>
      </c>
      <c r="AJ116">
        <v>35</v>
      </c>
    </row>
    <row r="117" spans="1:36" x14ac:dyDescent="0.25">
      <c r="A117" s="24"/>
      <c r="B117">
        <v>203</v>
      </c>
      <c r="C117" t="s">
        <v>28</v>
      </c>
      <c r="D117" t="s">
        <v>28</v>
      </c>
      <c r="E117" t="s">
        <v>28</v>
      </c>
      <c r="F117" t="s">
        <v>28</v>
      </c>
      <c r="G117" t="s">
        <v>28</v>
      </c>
      <c r="H117" t="s">
        <v>28</v>
      </c>
      <c r="I117" t="s">
        <v>28</v>
      </c>
      <c r="J117" t="s">
        <v>28</v>
      </c>
      <c r="K117">
        <v>10</v>
      </c>
      <c r="L117">
        <v>11</v>
      </c>
      <c r="M117">
        <v>12</v>
      </c>
      <c r="N117">
        <v>13</v>
      </c>
      <c r="O117">
        <v>14</v>
      </c>
      <c r="P117">
        <v>15</v>
      </c>
      <c r="Q117">
        <v>16</v>
      </c>
      <c r="R117">
        <v>17</v>
      </c>
      <c r="S117">
        <v>18</v>
      </c>
      <c r="T117">
        <v>19</v>
      </c>
      <c r="U117">
        <v>20</v>
      </c>
      <c r="V117">
        <v>21</v>
      </c>
      <c r="W117">
        <v>22</v>
      </c>
      <c r="X117">
        <v>23</v>
      </c>
      <c r="Y117">
        <v>24</v>
      </c>
      <c r="Z117">
        <v>25</v>
      </c>
      <c r="AA117">
        <v>26</v>
      </c>
      <c r="AB117">
        <v>27</v>
      </c>
      <c r="AC117">
        <v>28</v>
      </c>
      <c r="AD117">
        <v>29</v>
      </c>
      <c r="AE117">
        <v>30</v>
      </c>
      <c r="AF117">
        <v>31</v>
      </c>
      <c r="AG117">
        <v>32</v>
      </c>
      <c r="AH117">
        <v>33</v>
      </c>
      <c r="AI117">
        <v>34</v>
      </c>
      <c r="AJ117">
        <v>35</v>
      </c>
    </row>
    <row r="118" spans="1:36" x14ac:dyDescent="0.25">
      <c r="A118" s="24"/>
      <c r="B118">
        <v>204</v>
      </c>
      <c r="C118" t="s">
        <v>28</v>
      </c>
      <c r="D118" t="s">
        <v>28</v>
      </c>
      <c r="E118" t="s">
        <v>28</v>
      </c>
      <c r="F118" t="s">
        <v>28</v>
      </c>
      <c r="G118" t="s">
        <v>28</v>
      </c>
      <c r="H118" t="s">
        <v>28</v>
      </c>
      <c r="I118" t="s">
        <v>28</v>
      </c>
      <c r="J118" t="s">
        <v>28</v>
      </c>
      <c r="K118">
        <v>10</v>
      </c>
      <c r="L118">
        <v>11</v>
      </c>
      <c r="M118">
        <v>12</v>
      </c>
      <c r="N118">
        <v>13</v>
      </c>
      <c r="O118">
        <v>14</v>
      </c>
      <c r="P118">
        <v>15</v>
      </c>
      <c r="Q118">
        <v>16</v>
      </c>
      <c r="R118">
        <v>17</v>
      </c>
      <c r="S118">
        <v>18</v>
      </c>
      <c r="T118">
        <v>19</v>
      </c>
      <c r="U118">
        <v>20</v>
      </c>
      <c r="V118">
        <v>21</v>
      </c>
      <c r="W118">
        <v>22</v>
      </c>
      <c r="X118">
        <v>23</v>
      </c>
      <c r="Y118">
        <v>24</v>
      </c>
      <c r="Z118">
        <v>25</v>
      </c>
      <c r="AA118">
        <v>26</v>
      </c>
      <c r="AB118">
        <v>27</v>
      </c>
      <c r="AC118">
        <v>28</v>
      </c>
      <c r="AD118">
        <v>29</v>
      </c>
      <c r="AE118">
        <v>30</v>
      </c>
      <c r="AF118">
        <v>31</v>
      </c>
      <c r="AG118">
        <v>32</v>
      </c>
      <c r="AH118">
        <v>33</v>
      </c>
      <c r="AI118">
        <v>34</v>
      </c>
      <c r="AJ118">
        <v>35</v>
      </c>
    </row>
    <row r="119" spans="1:36" x14ac:dyDescent="0.25">
      <c r="A119" s="24"/>
      <c r="B119">
        <v>205</v>
      </c>
      <c r="C119" t="s">
        <v>28</v>
      </c>
      <c r="D119" t="s">
        <v>28</v>
      </c>
      <c r="E119" t="s">
        <v>28</v>
      </c>
      <c r="F119" t="s">
        <v>28</v>
      </c>
      <c r="G119" t="s">
        <v>28</v>
      </c>
      <c r="H119" t="s">
        <v>28</v>
      </c>
      <c r="I119" t="s">
        <v>28</v>
      </c>
      <c r="J119" t="s">
        <v>28</v>
      </c>
      <c r="K119">
        <v>10</v>
      </c>
      <c r="L119">
        <v>11</v>
      </c>
      <c r="M119">
        <v>12</v>
      </c>
      <c r="N119">
        <v>13</v>
      </c>
      <c r="O119">
        <v>14</v>
      </c>
      <c r="P119">
        <v>15</v>
      </c>
      <c r="Q119">
        <v>16</v>
      </c>
      <c r="R119">
        <v>17</v>
      </c>
      <c r="S119">
        <v>18</v>
      </c>
      <c r="T119">
        <v>19</v>
      </c>
      <c r="U119">
        <v>20</v>
      </c>
      <c r="V119">
        <v>21</v>
      </c>
      <c r="W119">
        <v>22</v>
      </c>
      <c r="X119">
        <v>23</v>
      </c>
      <c r="Y119">
        <v>24</v>
      </c>
      <c r="Z119">
        <v>25</v>
      </c>
      <c r="AA119">
        <v>26</v>
      </c>
      <c r="AB119">
        <v>27</v>
      </c>
      <c r="AC119">
        <v>28</v>
      </c>
      <c r="AD119">
        <v>29</v>
      </c>
      <c r="AE119">
        <v>30</v>
      </c>
      <c r="AF119">
        <v>31</v>
      </c>
      <c r="AG119">
        <v>32</v>
      </c>
      <c r="AH119">
        <v>33</v>
      </c>
      <c r="AI119">
        <v>34</v>
      </c>
      <c r="AJ119">
        <v>35</v>
      </c>
    </row>
    <row r="120" spans="1:36" x14ac:dyDescent="0.25">
      <c r="A120" s="24"/>
      <c r="B120">
        <v>206</v>
      </c>
      <c r="C120" t="s">
        <v>28</v>
      </c>
      <c r="D120" t="s">
        <v>28</v>
      </c>
      <c r="E120" t="s">
        <v>28</v>
      </c>
      <c r="F120" t="s">
        <v>28</v>
      </c>
      <c r="G120" t="s">
        <v>28</v>
      </c>
      <c r="H120" t="s">
        <v>28</v>
      </c>
      <c r="I120" t="s">
        <v>28</v>
      </c>
      <c r="J120" t="s">
        <v>28</v>
      </c>
      <c r="K120">
        <v>10</v>
      </c>
      <c r="L120">
        <v>11</v>
      </c>
      <c r="M120">
        <v>12</v>
      </c>
      <c r="N120">
        <v>13</v>
      </c>
      <c r="O120">
        <v>14</v>
      </c>
      <c r="P120">
        <v>15</v>
      </c>
      <c r="Q120">
        <v>16</v>
      </c>
      <c r="R120">
        <v>17</v>
      </c>
      <c r="S120">
        <v>18</v>
      </c>
      <c r="T120">
        <v>19</v>
      </c>
      <c r="U120">
        <v>20</v>
      </c>
      <c r="V120">
        <v>21</v>
      </c>
      <c r="W120">
        <v>22</v>
      </c>
      <c r="X120">
        <v>23</v>
      </c>
      <c r="Y120">
        <v>24</v>
      </c>
      <c r="Z120">
        <v>25</v>
      </c>
      <c r="AA120">
        <v>26</v>
      </c>
      <c r="AB120">
        <v>27</v>
      </c>
      <c r="AC120">
        <v>28</v>
      </c>
      <c r="AD120">
        <v>29</v>
      </c>
      <c r="AE120">
        <v>30</v>
      </c>
      <c r="AF120">
        <v>31</v>
      </c>
      <c r="AG120">
        <v>32</v>
      </c>
      <c r="AH120">
        <v>33</v>
      </c>
      <c r="AI120">
        <v>34</v>
      </c>
      <c r="AJ120">
        <v>35</v>
      </c>
    </row>
    <row r="121" spans="1:36" x14ac:dyDescent="0.25">
      <c r="A121" s="24"/>
      <c r="B121">
        <v>207</v>
      </c>
      <c r="C121" t="s">
        <v>28</v>
      </c>
      <c r="D121" t="s">
        <v>28</v>
      </c>
      <c r="E121" t="s">
        <v>28</v>
      </c>
      <c r="F121" t="s">
        <v>28</v>
      </c>
      <c r="G121" t="s">
        <v>28</v>
      </c>
      <c r="H121" t="s">
        <v>28</v>
      </c>
      <c r="I121" t="s">
        <v>28</v>
      </c>
      <c r="J121" t="s">
        <v>28</v>
      </c>
      <c r="K121">
        <v>10</v>
      </c>
      <c r="L121">
        <v>11</v>
      </c>
      <c r="M121">
        <v>12</v>
      </c>
      <c r="N121">
        <v>13</v>
      </c>
      <c r="O121">
        <v>14</v>
      </c>
      <c r="P121">
        <v>15</v>
      </c>
      <c r="Q121">
        <v>16</v>
      </c>
      <c r="R121">
        <v>17</v>
      </c>
      <c r="S121">
        <v>18</v>
      </c>
      <c r="T121">
        <v>19</v>
      </c>
      <c r="U121">
        <v>20</v>
      </c>
      <c r="V121">
        <v>21</v>
      </c>
      <c r="W121">
        <v>22</v>
      </c>
      <c r="X121">
        <v>23</v>
      </c>
      <c r="Y121">
        <v>24</v>
      </c>
      <c r="Z121">
        <v>25</v>
      </c>
      <c r="AA121">
        <v>26</v>
      </c>
      <c r="AB121">
        <v>27</v>
      </c>
      <c r="AC121">
        <v>28</v>
      </c>
      <c r="AD121">
        <v>29</v>
      </c>
      <c r="AE121">
        <v>30</v>
      </c>
      <c r="AF121">
        <v>31</v>
      </c>
      <c r="AG121">
        <v>32</v>
      </c>
      <c r="AH121">
        <v>33</v>
      </c>
      <c r="AI121">
        <v>34</v>
      </c>
      <c r="AJ121">
        <v>35</v>
      </c>
    </row>
    <row r="122" spans="1:36" x14ac:dyDescent="0.25">
      <c r="A122" s="24"/>
      <c r="B122">
        <v>208</v>
      </c>
      <c r="C122" t="s">
        <v>28</v>
      </c>
      <c r="D122" t="s">
        <v>28</v>
      </c>
      <c r="E122" t="s">
        <v>28</v>
      </c>
      <c r="F122" t="s">
        <v>28</v>
      </c>
      <c r="G122" t="s">
        <v>28</v>
      </c>
      <c r="H122" t="s">
        <v>28</v>
      </c>
      <c r="I122" t="s">
        <v>28</v>
      </c>
      <c r="J122" t="s">
        <v>28</v>
      </c>
      <c r="K122">
        <v>10</v>
      </c>
      <c r="L122">
        <v>11</v>
      </c>
      <c r="M122">
        <v>12</v>
      </c>
      <c r="N122">
        <v>13</v>
      </c>
      <c r="O122">
        <v>14</v>
      </c>
      <c r="P122">
        <v>15</v>
      </c>
      <c r="Q122">
        <v>16</v>
      </c>
      <c r="R122">
        <v>17</v>
      </c>
      <c r="S122">
        <v>18</v>
      </c>
      <c r="T122">
        <v>19</v>
      </c>
      <c r="U122">
        <v>20</v>
      </c>
      <c r="V122">
        <v>21</v>
      </c>
      <c r="W122">
        <v>22</v>
      </c>
      <c r="X122">
        <v>23</v>
      </c>
      <c r="Y122">
        <v>24</v>
      </c>
      <c r="Z122">
        <v>25</v>
      </c>
      <c r="AA122">
        <v>26</v>
      </c>
      <c r="AB122">
        <v>27</v>
      </c>
      <c r="AC122">
        <v>28</v>
      </c>
      <c r="AD122">
        <v>29</v>
      </c>
      <c r="AE122">
        <v>30</v>
      </c>
      <c r="AF122">
        <v>31</v>
      </c>
      <c r="AG122">
        <v>32</v>
      </c>
      <c r="AH122">
        <v>33</v>
      </c>
      <c r="AI122">
        <v>34</v>
      </c>
      <c r="AJ122">
        <v>35</v>
      </c>
    </row>
    <row r="123" spans="1:36" x14ac:dyDescent="0.25">
      <c r="A123" s="24"/>
      <c r="B123">
        <v>209</v>
      </c>
      <c r="C123" t="s">
        <v>28</v>
      </c>
      <c r="D123" t="s">
        <v>28</v>
      </c>
      <c r="E123" t="s">
        <v>28</v>
      </c>
      <c r="F123" t="s">
        <v>28</v>
      </c>
      <c r="G123" t="s">
        <v>28</v>
      </c>
      <c r="H123" t="s">
        <v>28</v>
      </c>
      <c r="I123" t="s">
        <v>28</v>
      </c>
      <c r="J123" t="s">
        <v>28</v>
      </c>
      <c r="K123">
        <v>10</v>
      </c>
      <c r="L123">
        <v>11</v>
      </c>
      <c r="M123">
        <v>12</v>
      </c>
      <c r="N123">
        <v>13</v>
      </c>
      <c r="O123">
        <v>14</v>
      </c>
      <c r="P123">
        <v>15</v>
      </c>
      <c r="Q123">
        <v>16</v>
      </c>
      <c r="R123">
        <v>17</v>
      </c>
      <c r="S123">
        <v>18</v>
      </c>
      <c r="T123">
        <v>19</v>
      </c>
      <c r="U123">
        <v>20</v>
      </c>
      <c r="V123">
        <v>21</v>
      </c>
      <c r="W123">
        <v>22</v>
      </c>
      <c r="X123">
        <v>23</v>
      </c>
      <c r="Y123">
        <v>24</v>
      </c>
      <c r="Z123">
        <v>25</v>
      </c>
      <c r="AA123">
        <v>26</v>
      </c>
      <c r="AB123">
        <v>27</v>
      </c>
      <c r="AC123">
        <v>28</v>
      </c>
      <c r="AD123">
        <v>29</v>
      </c>
      <c r="AE123">
        <v>30</v>
      </c>
      <c r="AF123">
        <v>31</v>
      </c>
      <c r="AG123">
        <v>32</v>
      </c>
      <c r="AH123">
        <v>33</v>
      </c>
      <c r="AI123">
        <v>34</v>
      </c>
      <c r="AJ123">
        <v>35</v>
      </c>
    </row>
    <row r="124" spans="1:36" x14ac:dyDescent="0.25">
      <c r="A124" s="24"/>
      <c r="B124">
        <v>210</v>
      </c>
      <c r="C124" t="s">
        <v>28</v>
      </c>
      <c r="D124" t="s">
        <v>28</v>
      </c>
      <c r="E124" t="s">
        <v>28</v>
      </c>
      <c r="F124" t="s">
        <v>28</v>
      </c>
      <c r="G124" t="s">
        <v>28</v>
      </c>
      <c r="H124" t="s">
        <v>28</v>
      </c>
      <c r="I124" t="s">
        <v>28</v>
      </c>
      <c r="J124" t="s">
        <v>28</v>
      </c>
      <c r="K124">
        <v>10</v>
      </c>
      <c r="L124">
        <v>11</v>
      </c>
      <c r="M124">
        <v>12</v>
      </c>
      <c r="N124">
        <v>13</v>
      </c>
      <c r="O124">
        <v>14</v>
      </c>
      <c r="P124">
        <v>14</v>
      </c>
      <c r="Q124">
        <v>15</v>
      </c>
      <c r="R124">
        <v>16</v>
      </c>
      <c r="S124">
        <v>17</v>
      </c>
      <c r="T124">
        <v>18</v>
      </c>
      <c r="U124">
        <v>19</v>
      </c>
      <c r="V124">
        <v>20</v>
      </c>
      <c r="W124">
        <v>21</v>
      </c>
      <c r="X124">
        <v>22</v>
      </c>
      <c r="Y124">
        <v>23</v>
      </c>
      <c r="Z124">
        <v>24</v>
      </c>
      <c r="AA124">
        <v>25</v>
      </c>
      <c r="AB124">
        <v>26</v>
      </c>
      <c r="AC124">
        <v>27</v>
      </c>
      <c r="AD124">
        <v>28</v>
      </c>
      <c r="AE124">
        <v>29</v>
      </c>
      <c r="AF124">
        <v>30</v>
      </c>
      <c r="AG124">
        <v>31</v>
      </c>
      <c r="AH124">
        <v>32</v>
      </c>
      <c r="AI124">
        <v>33</v>
      </c>
      <c r="AJ124">
        <v>34</v>
      </c>
    </row>
    <row r="125" spans="1:36" x14ac:dyDescent="0.25">
      <c r="A125" s="24"/>
      <c r="B125">
        <v>211</v>
      </c>
      <c r="C125" t="s">
        <v>28</v>
      </c>
      <c r="D125" t="s">
        <v>28</v>
      </c>
      <c r="E125" t="s">
        <v>28</v>
      </c>
      <c r="F125" t="s">
        <v>28</v>
      </c>
      <c r="G125" t="s">
        <v>28</v>
      </c>
      <c r="H125" t="s">
        <v>28</v>
      </c>
      <c r="I125" t="s">
        <v>28</v>
      </c>
      <c r="J125" t="s">
        <v>28</v>
      </c>
      <c r="K125" t="s">
        <v>28</v>
      </c>
      <c r="L125">
        <v>10</v>
      </c>
      <c r="M125">
        <v>11</v>
      </c>
      <c r="N125">
        <v>12</v>
      </c>
      <c r="O125">
        <v>13</v>
      </c>
      <c r="P125">
        <v>14</v>
      </c>
      <c r="Q125">
        <v>15</v>
      </c>
      <c r="R125">
        <v>16</v>
      </c>
      <c r="S125">
        <v>17</v>
      </c>
      <c r="T125">
        <v>18</v>
      </c>
      <c r="U125">
        <v>19</v>
      </c>
      <c r="V125">
        <v>20</v>
      </c>
      <c r="W125">
        <v>21</v>
      </c>
      <c r="X125">
        <v>22</v>
      </c>
      <c r="Y125">
        <v>23</v>
      </c>
      <c r="Z125">
        <v>24</v>
      </c>
      <c r="AA125">
        <v>25</v>
      </c>
      <c r="AB125">
        <v>26</v>
      </c>
      <c r="AC125">
        <v>27</v>
      </c>
      <c r="AD125">
        <v>28</v>
      </c>
      <c r="AE125">
        <v>29</v>
      </c>
      <c r="AF125">
        <v>30</v>
      </c>
      <c r="AG125">
        <v>31</v>
      </c>
      <c r="AH125">
        <v>32</v>
      </c>
      <c r="AI125">
        <v>33</v>
      </c>
      <c r="AJ125">
        <v>34</v>
      </c>
    </row>
    <row r="126" spans="1:36" x14ac:dyDescent="0.25">
      <c r="A126" s="24"/>
      <c r="B126">
        <v>212</v>
      </c>
      <c r="C126" t="s">
        <v>28</v>
      </c>
      <c r="D126" t="s">
        <v>28</v>
      </c>
      <c r="E126" t="s">
        <v>28</v>
      </c>
      <c r="F126" t="s">
        <v>28</v>
      </c>
      <c r="G126" t="s">
        <v>28</v>
      </c>
      <c r="H126" t="s">
        <v>28</v>
      </c>
      <c r="I126" t="s">
        <v>28</v>
      </c>
      <c r="J126" t="s">
        <v>28</v>
      </c>
      <c r="K126" t="s">
        <v>28</v>
      </c>
      <c r="L126">
        <v>10</v>
      </c>
      <c r="M126">
        <v>11</v>
      </c>
      <c r="N126">
        <v>12</v>
      </c>
      <c r="O126">
        <v>13</v>
      </c>
      <c r="P126">
        <v>14</v>
      </c>
      <c r="Q126">
        <v>15</v>
      </c>
      <c r="R126">
        <v>16</v>
      </c>
      <c r="S126">
        <v>17</v>
      </c>
      <c r="T126">
        <v>18</v>
      </c>
      <c r="U126">
        <v>19</v>
      </c>
      <c r="V126">
        <v>20</v>
      </c>
      <c r="W126">
        <v>21</v>
      </c>
      <c r="X126">
        <v>22</v>
      </c>
      <c r="Y126">
        <v>23</v>
      </c>
      <c r="Z126">
        <v>24</v>
      </c>
      <c r="AA126">
        <v>25</v>
      </c>
      <c r="AB126">
        <v>26</v>
      </c>
      <c r="AC126">
        <v>27</v>
      </c>
      <c r="AD126">
        <v>28</v>
      </c>
      <c r="AE126">
        <v>29</v>
      </c>
      <c r="AF126">
        <v>30</v>
      </c>
      <c r="AG126">
        <v>31</v>
      </c>
      <c r="AH126">
        <v>32</v>
      </c>
      <c r="AI126">
        <v>33</v>
      </c>
      <c r="AJ126">
        <v>34</v>
      </c>
    </row>
    <row r="127" spans="1:36" x14ac:dyDescent="0.25">
      <c r="A127" s="24"/>
      <c r="B127">
        <v>213</v>
      </c>
      <c r="C127" t="s">
        <v>28</v>
      </c>
      <c r="D127" t="s">
        <v>28</v>
      </c>
      <c r="E127" t="s">
        <v>28</v>
      </c>
      <c r="F127" t="s">
        <v>28</v>
      </c>
      <c r="G127" t="s">
        <v>28</v>
      </c>
      <c r="H127" t="s">
        <v>28</v>
      </c>
      <c r="I127" t="s">
        <v>28</v>
      </c>
      <c r="J127" t="s">
        <v>28</v>
      </c>
      <c r="K127" t="s">
        <v>28</v>
      </c>
      <c r="L127">
        <v>10</v>
      </c>
      <c r="M127">
        <v>11</v>
      </c>
      <c r="N127">
        <v>12</v>
      </c>
      <c r="O127">
        <v>13</v>
      </c>
      <c r="P127">
        <v>14</v>
      </c>
      <c r="Q127">
        <v>15</v>
      </c>
      <c r="R127">
        <v>16</v>
      </c>
      <c r="S127">
        <v>17</v>
      </c>
      <c r="T127">
        <v>18</v>
      </c>
      <c r="U127">
        <v>19</v>
      </c>
      <c r="V127">
        <v>20</v>
      </c>
      <c r="W127">
        <v>21</v>
      </c>
      <c r="X127">
        <v>22</v>
      </c>
      <c r="Y127">
        <v>23</v>
      </c>
      <c r="Z127">
        <v>24</v>
      </c>
      <c r="AA127">
        <v>25</v>
      </c>
      <c r="AB127">
        <v>26</v>
      </c>
      <c r="AC127">
        <v>27</v>
      </c>
      <c r="AD127">
        <v>28</v>
      </c>
      <c r="AE127">
        <v>29</v>
      </c>
      <c r="AF127">
        <v>30</v>
      </c>
      <c r="AG127">
        <v>31</v>
      </c>
      <c r="AH127">
        <v>32</v>
      </c>
      <c r="AI127">
        <v>33</v>
      </c>
      <c r="AJ127">
        <v>34</v>
      </c>
    </row>
    <row r="128" spans="1:36" x14ac:dyDescent="0.25">
      <c r="A128" s="24"/>
      <c r="B128">
        <v>214</v>
      </c>
      <c r="C128" t="s">
        <v>28</v>
      </c>
      <c r="D128" t="s">
        <v>28</v>
      </c>
      <c r="E128" t="s">
        <v>28</v>
      </c>
      <c r="F128" t="s">
        <v>28</v>
      </c>
      <c r="G128" t="s">
        <v>28</v>
      </c>
      <c r="H128" t="s">
        <v>28</v>
      </c>
      <c r="I128" t="s">
        <v>28</v>
      </c>
      <c r="J128" t="s">
        <v>28</v>
      </c>
      <c r="K128" t="s">
        <v>28</v>
      </c>
      <c r="L128">
        <v>10</v>
      </c>
      <c r="M128">
        <v>11</v>
      </c>
      <c r="N128">
        <v>12</v>
      </c>
      <c r="O128">
        <v>13</v>
      </c>
      <c r="P128">
        <v>14</v>
      </c>
      <c r="Q128">
        <v>15</v>
      </c>
      <c r="R128">
        <v>16</v>
      </c>
      <c r="S128">
        <v>17</v>
      </c>
      <c r="T128">
        <v>18</v>
      </c>
      <c r="U128">
        <v>19</v>
      </c>
      <c r="V128">
        <v>20</v>
      </c>
      <c r="W128">
        <v>21</v>
      </c>
      <c r="X128">
        <v>22</v>
      </c>
      <c r="Y128">
        <v>23</v>
      </c>
      <c r="Z128">
        <v>24</v>
      </c>
      <c r="AA128">
        <v>25</v>
      </c>
      <c r="AB128">
        <v>26</v>
      </c>
      <c r="AC128">
        <v>27</v>
      </c>
      <c r="AD128">
        <v>28</v>
      </c>
      <c r="AE128">
        <v>29</v>
      </c>
      <c r="AF128">
        <v>30</v>
      </c>
      <c r="AG128">
        <v>31</v>
      </c>
      <c r="AH128">
        <v>32</v>
      </c>
      <c r="AI128">
        <v>33</v>
      </c>
      <c r="AJ128">
        <v>34</v>
      </c>
    </row>
    <row r="129" spans="1:36" x14ac:dyDescent="0.25">
      <c r="A129" s="24"/>
      <c r="B129">
        <v>215</v>
      </c>
      <c r="C129" t="s">
        <v>28</v>
      </c>
      <c r="D129" t="s">
        <v>28</v>
      </c>
      <c r="E129" t="s">
        <v>28</v>
      </c>
      <c r="F129" t="s">
        <v>28</v>
      </c>
      <c r="G129" t="s">
        <v>28</v>
      </c>
      <c r="H129" t="s">
        <v>28</v>
      </c>
      <c r="I129" t="s">
        <v>28</v>
      </c>
      <c r="J129" t="s">
        <v>28</v>
      </c>
      <c r="K129" t="s">
        <v>28</v>
      </c>
      <c r="L129">
        <v>10</v>
      </c>
      <c r="M129">
        <v>11</v>
      </c>
      <c r="N129">
        <v>12</v>
      </c>
      <c r="O129">
        <v>13</v>
      </c>
      <c r="P129">
        <v>14</v>
      </c>
      <c r="Q129">
        <v>15</v>
      </c>
      <c r="R129">
        <v>16</v>
      </c>
      <c r="S129">
        <v>17</v>
      </c>
      <c r="T129">
        <v>18</v>
      </c>
      <c r="U129">
        <v>19</v>
      </c>
      <c r="V129">
        <v>20</v>
      </c>
      <c r="W129">
        <v>21</v>
      </c>
      <c r="X129">
        <v>22</v>
      </c>
      <c r="Y129">
        <v>23</v>
      </c>
      <c r="Z129">
        <v>24</v>
      </c>
      <c r="AA129">
        <v>25</v>
      </c>
      <c r="AB129">
        <v>26</v>
      </c>
      <c r="AC129">
        <v>27</v>
      </c>
      <c r="AD129">
        <v>28</v>
      </c>
      <c r="AE129">
        <v>29</v>
      </c>
      <c r="AF129">
        <v>30</v>
      </c>
      <c r="AG129">
        <v>31</v>
      </c>
      <c r="AH129">
        <v>32</v>
      </c>
      <c r="AI129">
        <v>33</v>
      </c>
      <c r="AJ129">
        <v>34</v>
      </c>
    </row>
    <row r="130" spans="1:36" x14ac:dyDescent="0.25">
      <c r="A130" s="24"/>
      <c r="B130">
        <v>216</v>
      </c>
      <c r="C130" t="s">
        <v>28</v>
      </c>
      <c r="D130" t="s">
        <v>28</v>
      </c>
      <c r="E130" t="s">
        <v>28</v>
      </c>
      <c r="F130" t="s">
        <v>28</v>
      </c>
      <c r="G130" t="s">
        <v>28</v>
      </c>
      <c r="H130" t="s">
        <v>28</v>
      </c>
      <c r="I130" t="s">
        <v>28</v>
      </c>
      <c r="J130" t="s">
        <v>28</v>
      </c>
      <c r="K130" t="s">
        <v>28</v>
      </c>
      <c r="L130">
        <v>10</v>
      </c>
      <c r="M130">
        <v>11</v>
      </c>
      <c r="N130">
        <v>12</v>
      </c>
      <c r="O130">
        <v>13</v>
      </c>
      <c r="P130">
        <v>14</v>
      </c>
      <c r="Q130">
        <v>15</v>
      </c>
      <c r="R130">
        <v>16</v>
      </c>
      <c r="S130">
        <v>17</v>
      </c>
      <c r="T130">
        <v>18</v>
      </c>
      <c r="U130">
        <v>19</v>
      </c>
      <c r="V130">
        <v>20</v>
      </c>
      <c r="W130">
        <v>21</v>
      </c>
      <c r="X130">
        <v>22</v>
      </c>
      <c r="Y130">
        <v>23</v>
      </c>
      <c r="Z130">
        <v>24</v>
      </c>
      <c r="AA130">
        <v>25</v>
      </c>
      <c r="AB130">
        <v>26</v>
      </c>
      <c r="AC130">
        <v>27</v>
      </c>
      <c r="AD130">
        <v>28</v>
      </c>
      <c r="AE130">
        <v>29</v>
      </c>
      <c r="AF130">
        <v>30</v>
      </c>
      <c r="AG130">
        <v>31</v>
      </c>
      <c r="AH130">
        <v>32</v>
      </c>
      <c r="AI130">
        <v>33</v>
      </c>
      <c r="AJ130">
        <v>34</v>
      </c>
    </row>
    <row r="131" spans="1:36" x14ac:dyDescent="0.25">
      <c r="A131" s="24"/>
      <c r="B131">
        <v>217</v>
      </c>
      <c r="C131" t="s">
        <v>28</v>
      </c>
      <c r="D131" t="s">
        <v>28</v>
      </c>
      <c r="E131" t="s">
        <v>28</v>
      </c>
      <c r="F131" t="s">
        <v>28</v>
      </c>
      <c r="G131" t="s">
        <v>28</v>
      </c>
      <c r="H131" t="s">
        <v>28</v>
      </c>
      <c r="I131" t="s">
        <v>28</v>
      </c>
      <c r="J131" t="s">
        <v>28</v>
      </c>
      <c r="K131" t="s">
        <v>28</v>
      </c>
      <c r="L131">
        <v>10</v>
      </c>
      <c r="M131">
        <v>11</v>
      </c>
      <c r="N131">
        <v>12</v>
      </c>
      <c r="O131">
        <v>13</v>
      </c>
      <c r="P131">
        <v>14</v>
      </c>
      <c r="Q131">
        <v>15</v>
      </c>
      <c r="R131">
        <v>16</v>
      </c>
      <c r="S131">
        <v>17</v>
      </c>
      <c r="T131">
        <v>18</v>
      </c>
      <c r="U131">
        <v>19</v>
      </c>
      <c r="V131">
        <v>20</v>
      </c>
      <c r="W131">
        <v>21</v>
      </c>
      <c r="X131">
        <v>22</v>
      </c>
      <c r="Y131">
        <v>23</v>
      </c>
      <c r="Z131">
        <v>24</v>
      </c>
      <c r="AA131">
        <v>25</v>
      </c>
      <c r="AB131">
        <v>26</v>
      </c>
      <c r="AC131">
        <v>27</v>
      </c>
      <c r="AD131">
        <v>28</v>
      </c>
      <c r="AE131">
        <v>29</v>
      </c>
      <c r="AF131">
        <v>30</v>
      </c>
      <c r="AG131">
        <v>31</v>
      </c>
      <c r="AH131">
        <v>32</v>
      </c>
      <c r="AI131">
        <v>33</v>
      </c>
      <c r="AJ131">
        <v>34</v>
      </c>
    </row>
    <row r="132" spans="1:36" x14ac:dyDescent="0.25">
      <c r="A132" s="24"/>
      <c r="B132">
        <v>218</v>
      </c>
      <c r="C132" t="s">
        <v>28</v>
      </c>
      <c r="D132" t="s">
        <v>28</v>
      </c>
      <c r="E132" t="s">
        <v>28</v>
      </c>
      <c r="F132" t="s">
        <v>28</v>
      </c>
      <c r="G132" t="s">
        <v>28</v>
      </c>
      <c r="H132" t="s">
        <v>28</v>
      </c>
      <c r="I132" t="s">
        <v>28</v>
      </c>
      <c r="J132" t="s">
        <v>28</v>
      </c>
      <c r="K132" t="s">
        <v>28</v>
      </c>
      <c r="L132">
        <v>10</v>
      </c>
      <c r="M132">
        <v>11</v>
      </c>
      <c r="N132">
        <v>12</v>
      </c>
      <c r="O132">
        <v>13</v>
      </c>
      <c r="P132">
        <v>14</v>
      </c>
      <c r="Q132">
        <v>15</v>
      </c>
      <c r="R132">
        <v>16</v>
      </c>
      <c r="S132">
        <v>17</v>
      </c>
      <c r="T132">
        <v>18</v>
      </c>
      <c r="U132">
        <v>19</v>
      </c>
      <c r="V132">
        <v>20</v>
      </c>
      <c r="W132">
        <v>20</v>
      </c>
      <c r="X132">
        <v>21</v>
      </c>
      <c r="Y132">
        <v>22</v>
      </c>
      <c r="Z132">
        <v>23</v>
      </c>
      <c r="AA132">
        <v>24</v>
      </c>
      <c r="AB132">
        <v>25</v>
      </c>
      <c r="AC132">
        <v>26</v>
      </c>
      <c r="AD132">
        <v>27</v>
      </c>
      <c r="AE132">
        <v>28</v>
      </c>
      <c r="AF132">
        <v>29</v>
      </c>
      <c r="AG132">
        <v>30</v>
      </c>
      <c r="AH132">
        <v>31</v>
      </c>
      <c r="AI132">
        <v>32</v>
      </c>
      <c r="AJ132">
        <v>33</v>
      </c>
    </row>
    <row r="133" spans="1:36" x14ac:dyDescent="0.25">
      <c r="A133" s="24"/>
      <c r="B133">
        <v>219</v>
      </c>
      <c r="C133" t="s">
        <v>28</v>
      </c>
      <c r="D133" t="s">
        <v>28</v>
      </c>
      <c r="E133" t="s">
        <v>28</v>
      </c>
      <c r="F133" t="s">
        <v>28</v>
      </c>
      <c r="G133" t="s">
        <v>28</v>
      </c>
      <c r="H133" t="s">
        <v>28</v>
      </c>
      <c r="I133" t="s">
        <v>28</v>
      </c>
      <c r="J133" t="s">
        <v>28</v>
      </c>
      <c r="K133" t="s">
        <v>28</v>
      </c>
      <c r="L133" t="s">
        <v>28</v>
      </c>
      <c r="M133">
        <v>10</v>
      </c>
      <c r="N133">
        <v>11</v>
      </c>
      <c r="O133">
        <v>12</v>
      </c>
      <c r="P133">
        <v>13</v>
      </c>
      <c r="Q133">
        <v>14</v>
      </c>
      <c r="R133">
        <v>15</v>
      </c>
      <c r="S133">
        <v>16</v>
      </c>
      <c r="T133">
        <v>17</v>
      </c>
      <c r="U133">
        <v>18</v>
      </c>
      <c r="V133">
        <v>19</v>
      </c>
      <c r="W133">
        <v>20</v>
      </c>
      <c r="X133">
        <v>21</v>
      </c>
      <c r="Y133">
        <v>22</v>
      </c>
      <c r="Z133">
        <v>23</v>
      </c>
      <c r="AA133">
        <v>24</v>
      </c>
      <c r="AB133">
        <v>25</v>
      </c>
      <c r="AC133">
        <v>26</v>
      </c>
      <c r="AD133">
        <v>27</v>
      </c>
      <c r="AE133">
        <v>28</v>
      </c>
      <c r="AF133">
        <v>29</v>
      </c>
      <c r="AG133">
        <v>30</v>
      </c>
      <c r="AH133">
        <v>31</v>
      </c>
      <c r="AI133">
        <v>32</v>
      </c>
      <c r="AJ133">
        <v>33</v>
      </c>
    </row>
    <row r="134" spans="1:36" x14ac:dyDescent="0.25">
      <c r="A134" s="24"/>
      <c r="B134">
        <v>220</v>
      </c>
      <c r="C134" t="s">
        <v>28</v>
      </c>
      <c r="D134" t="s">
        <v>28</v>
      </c>
      <c r="E134" t="s">
        <v>28</v>
      </c>
      <c r="F134" t="s">
        <v>28</v>
      </c>
      <c r="G134" t="s">
        <v>28</v>
      </c>
      <c r="H134" t="s">
        <v>28</v>
      </c>
      <c r="I134" t="s">
        <v>28</v>
      </c>
      <c r="J134" t="s">
        <v>28</v>
      </c>
      <c r="K134" t="s">
        <v>28</v>
      </c>
      <c r="L134" t="s">
        <v>28</v>
      </c>
      <c r="M134">
        <v>10</v>
      </c>
      <c r="N134">
        <v>11</v>
      </c>
      <c r="O134">
        <v>12</v>
      </c>
      <c r="P134">
        <v>13</v>
      </c>
      <c r="Q134">
        <v>14</v>
      </c>
      <c r="R134">
        <v>15</v>
      </c>
      <c r="S134">
        <v>16</v>
      </c>
      <c r="T134">
        <v>17</v>
      </c>
      <c r="U134">
        <v>18</v>
      </c>
      <c r="V134">
        <v>19</v>
      </c>
      <c r="W134">
        <v>20</v>
      </c>
      <c r="X134">
        <v>21</v>
      </c>
      <c r="Y134">
        <v>22</v>
      </c>
      <c r="Z134">
        <v>23</v>
      </c>
      <c r="AA134">
        <v>24</v>
      </c>
      <c r="AB134">
        <v>25</v>
      </c>
      <c r="AC134">
        <v>26</v>
      </c>
      <c r="AD134">
        <v>27</v>
      </c>
      <c r="AE134">
        <v>28</v>
      </c>
      <c r="AF134">
        <v>29</v>
      </c>
      <c r="AG134">
        <v>30</v>
      </c>
      <c r="AH134">
        <v>31</v>
      </c>
      <c r="AI134">
        <v>32</v>
      </c>
      <c r="AJ134">
        <v>33</v>
      </c>
    </row>
    <row r="135" spans="1:36" x14ac:dyDescent="0.25">
      <c r="A135" s="24"/>
      <c r="B135">
        <v>221</v>
      </c>
      <c r="C135" t="s">
        <v>28</v>
      </c>
      <c r="D135" t="s">
        <v>28</v>
      </c>
      <c r="E135" t="s">
        <v>28</v>
      </c>
      <c r="F135" t="s">
        <v>28</v>
      </c>
      <c r="G135" t="s">
        <v>28</v>
      </c>
      <c r="H135" t="s">
        <v>28</v>
      </c>
      <c r="I135" t="s">
        <v>28</v>
      </c>
      <c r="J135" t="s">
        <v>28</v>
      </c>
      <c r="K135" t="s">
        <v>28</v>
      </c>
      <c r="L135" t="s">
        <v>28</v>
      </c>
      <c r="M135">
        <v>10</v>
      </c>
      <c r="N135">
        <v>11</v>
      </c>
      <c r="O135">
        <v>12</v>
      </c>
      <c r="P135">
        <v>13</v>
      </c>
      <c r="Q135">
        <v>14</v>
      </c>
      <c r="R135">
        <v>15</v>
      </c>
      <c r="S135">
        <v>16</v>
      </c>
      <c r="T135">
        <v>17</v>
      </c>
      <c r="U135">
        <v>18</v>
      </c>
      <c r="V135">
        <v>19</v>
      </c>
      <c r="W135">
        <v>20</v>
      </c>
      <c r="X135">
        <v>21</v>
      </c>
      <c r="Y135">
        <v>22</v>
      </c>
      <c r="Z135">
        <v>23</v>
      </c>
      <c r="AA135">
        <v>24</v>
      </c>
      <c r="AB135">
        <v>25</v>
      </c>
      <c r="AC135">
        <v>26</v>
      </c>
      <c r="AD135">
        <v>27</v>
      </c>
      <c r="AE135">
        <v>28</v>
      </c>
      <c r="AF135">
        <v>29</v>
      </c>
      <c r="AG135">
        <v>30</v>
      </c>
      <c r="AH135">
        <v>31</v>
      </c>
      <c r="AI135">
        <v>32</v>
      </c>
      <c r="AJ135">
        <v>33</v>
      </c>
    </row>
    <row r="136" spans="1:36" x14ac:dyDescent="0.25">
      <c r="A136" s="24"/>
      <c r="B136">
        <v>222</v>
      </c>
      <c r="C136" t="s">
        <v>28</v>
      </c>
      <c r="D136" t="s">
        <v>28</v>
      </c>
      <c r="E136" t="s">
        <v>28</v>
      </c>
      <c r="F136" t="s">
        <v>28</v>
      </c>
      <c r="G136" t="s">
        <v>28</v>
      </c>
      <c r="H136" t="s">
        <v>28</v>
      </c>
      <c r="I136" t="s">
        <v>28</v>
      </c>
      <c r="J136" t="s">
        <v>28</v>
      </c>
      <c r="K136" t="s">
        <v>28</v>
      </c>
      <c r="L136" t="s">
        <v>28</v>
      </c>
      <c r="M136">
        <v>10</v>
      </c>
      <c r="N136">
        <v>11</v>
      </c>
      <c r="O136">
        <v>12</v>
      </c>
      <c r="P136">
        <v>13</v>
      </c>
      <c r="Q136">
        <v>14</v>
      </c>
      <c r="R136">
        <v>15</v>
      </c>
      <c r="S136">
        <v>16</v>
      </c>
      <c r="T136">
        <v>17</v>
      </c>
      <c r="U136">
        <v>18</v>
      </c>
      <c r="V136">
        <v>19</v>
      </c>
      <c r="W136">
        <v>20</v>
      </c>
      <c r="X136">
        <v>21</v>
      </c>
      <c r="Y136">
        <v>22</v>
      </c>
      <c r="Z136">
        <v>23</v>
      </c>
      <c r="AA136">
        <v>24</v>
      </c>
      <c r="AB136">
        <v>25</v>
      </c>
      <c r="AC136">
        <v>26</v>
      </c>
      <c r="AD136">
        <v>27</v>
      </c>
      <c r="AE136">
        <v>28</v>
      </c>
      <c r="AF136">
        <v>29</v>
      </c>
      <c r="AG136">
        <v>30</v>
      </c>
      <c r="AH136">
        <v>31</v>
      </c>
      <c r="AI136">
        <v>32</v>
      </c>
      <c r="AJ136">
        <v>33</v>
      </c>
    </row>
    <row r="137" spans="1:36" x14ac:dyDescent="0.25">
      <c r="A137" s="24"/>
      <c r="B137">
        <v>223</v>
      </c>
      <c r="C137" t="s">
        <v>28</v>
      </c>
      <c r="D137" t="s">
        <v>28</v>
      </c>
      <c r="E137" t="s">
        <v>28</v>
      </c>
      <c r="F137" t="s">
        <v>28</v>
      </c>
      <c r="G137" t="s">
        <v>28</v>
      </c>
      <c r="H137" t="s">
        <v>28</v>
      </c>
      <c r="I137" t="s">
        <v>28</v>
      </c>
      <c r="J137" t="s">
        <v>28</v>
      </c>
      <c r="K137" t="s">
        <v>28</v>
      </c>
      <c r="L137" t="s">
        <v>28</v>
      </c>
      <c r="M137">
        <v>10</v>
      </c>
      <c r="N137">
        <v>11</v>
      </c>
      <c r="O137">
        <v>12</v>
      </c>
      <c r="P137">
        <v>13</v>
      </c>
      <c r="Q137">
        <v>14</v>
      </c>
      <c r="R137">
        <v>15</v>
      </c>
      <c r="S137">
        <v>16</v>
      </c>
      <c r="T137">
        <v>17</v>
      </c>
      <c r="U137">
        <v>18</v>
      </c>
      <c r="V137">
        <v>19</v>
      </c>
      <c r="W137">
        <v>20</v>
      </c>
      <c r="X137">
        <v>21</v>
      </c>
      <c r="Y137">
        <v>22</v>
      </c>
      <c r="Z137">
        <v>23</v>
      </c>
      <c r="AA137">
        <v>24</v>
      </c>
      <c r="AB137">
        <v>25</v>
      </c>
      <c r="AC137">
        <v>26</v>
      </c>
      <c r="AD137">
        <v>27</v>
      </c>
      <c r="AE137">
        <v>28</v>
      </c>
      <c r="AF137">
        <v>29</v>
      </c>
      <c r="AG137">
        <v>30</v>
      </c>
      <c r="AH137">
        <v>31</v>
      </c>
      <c r="AI137">
        <v>32</v>
      </c>
      <c r="AJ137">
        <v>33</v>
      </c>
    </row>
    <row r="138" spans="1:36" x14ac:dyDescent="0.25">
      <c r="A138" s="24"/>
      <c r="B138">
        <v>224</v>
      </c>
      <c r="C138" t="s">
        <v>28</v>
      </c>
      <c r="D138" t="s">
        <v>28</v>
      </c>
      <c r="E138" t="s">
        <v>28</v>
      </c>
      <c r="F138" t="s">
        <v>28</v>
      </c>
      <c r="G138" t="s">
        <v>28</v>
      </c>
      <c r="H138" t="s">
        <v>28</v>
      </c>
      <c r="I138" t="s">
        <v>28</v>
      </c>
      <c r="J138" t="s">
        <v>28</v>
      </c>
      <c r="K138" t="s">
        <v>28</v>
      </c>
      <c r="L138" t="s">
        <v>28</v>
      </c>
      <c r="M138">
        <v>10</v>
      </c>
      <c r="N138">
        <v>11</v>
      </c>
      <c r="O138">
        <v>12</v>
      </c>
      <c r="P138">
        <v>13</v>
      </c>
      <c r="Q138">
        <v>14</v>
      </c>
      <c r="R138">
        <v>15</v>
      </c>
      <c r="S138">
        <v>16</v>
      </c>
      <c r="T138">
        <v>17</v>
      </c>
      <c r="U138">
        <v>18</v>
      </c>
      <c r="V138">
        <v>19</v>
      </c>
      <c r="W138">
        <v>20</v>
      </c>
      <c r="X138">
        <v>21</v>
      </c>
      <c r="Y138">
        <v>22</v>
      </c>
      <c r="Z138">
        <v>23</v>
      </c>
      <c r="AA138">
        <v>24</v>
      </c>
      <c r="AB138">
        <v>25</v>
      </c>
      <c r="AC138">
        <v>26</v>
      </c>
      <c r="AD138">
        <v>27</v>
      </c>
      <c r="AE138">
        <v>28</v>
      </c>
      <c r="AF138">
        <v>29</v>
      </c>
      <c r="AG138">
        <v>30</v>
      </c>
      <c r="AH138">
        <v>31</v>
      </c>
      <c r="AI138">
        <v>32</v>
      </c>
      <c r="AJ138">
        <v>33</v>
      </c>
    </row>
    <row r="139" spans="1:36" x14ac:dyDescent="0.25">
      <c r="A139" s="24"/>
      <c r="B139">
        <v>225</v>
      </c>
      <c r="C139" t="s">
        <v>28</v>
      </c>
      <c r="D139" t="s">
        <v>28</v>
      </c>
      <c r="E139" t="s">
        <v>28</v>
      </c>
      <c r="F139" t="s">
        <v>28</v>
      </c>
      <c r="G139" t="s">
        <v>28</v>
      </c>
      <c r="H139" t="s">
        <v>28</v>
      </c>
      <c r="I139" t="s">
        <v>28</v>
      </c>
      <c r="J139" t="s">
        <v>28</v>
      </c>
      <c r="K139" t="s">
        <v>28</v>
      </c>
      <c r="L139" t="s">
        <v>28</v>
      </c>
      <c r="M139">
        <v>10</v>
      </c>
      <c r="N139">
        <v>11</v>
      </c>
      <c r="O139">
        <v>12</v>
      </c>
      <c r="P139">
        <v>13</v>
      </c>
      <c r="Q139">
        <v>14</v>
      </c>
      <c r="R139">
        <v>15</v>
      </c>
      <c r="S139">
        <v>16</v>
      </c>
      <c r="T139">
        <v>17</v>
      </c>
      <c r="U139">
        <v>18</v>
      </c>
      <c r="V139">
        <v>19</v>
      </c>
      <c r="W139">
        <v>20</v>
      </c>
      <c r="X139">
        <v>21</v>
      </c>
      <c r="Y139">
        <v>22</v>
      </c>
      <c r="Z139">
        <v>23</v>
      </c>
      <c r="AA139">
        <v>24</v>
      </c>
      <c r="AB139">
        <v>25</v>
      </c>
      <c r="AC139">
        <v>26</v>
      </c>
      <c r="AD139">
        <v>27</v>
      </c>
      <c r="AE139">
        <v>28</v>
      </c>
      <c r="AF139">
        <v>29</v>
      </c>
      <c r="AG139">
        <v>30</v>
      </c>
      <c r="AH139">
        <v>31</v>
      </c>
      <c r="AI139">
        <v>32</v>
      </c>
      <c r="AJ139">
        <v>33</v>
      </c>
    </row>
    <row r="140" spans="1:36" x14ac:dyDescent="0.25">
      <c r="A140" s="24"/>
      <c r="B140">
        <v>226</v>
      </c>
      <c r="C140" t="s">
        <v>28</v>
      </c>
      <c r="D140" t="s">
        <v>28</v>
      </c>
      <c r="E140" t="s">
        <v>28</v>
      </c>
      <c r="F140" t="s">
        <v>28</v>
      </c>
      <c r="G140" t="s">
        <v>28</v>
      </c>
      <c r="H140" t="s">
        <v>28</v>
      </c>
      <c r="I140" t="s">
        <v>28</v>
      </c>
      <c r="J140" t="s">
        <v>28</v>
      </c>
      <c r="K140" t="s">
        <v>28</v>
      </c>
      <c r="L140" t="s">
        <v>28</v>
      </c>
      <c r="M140">
        <v>10</v>
      </c>
      <c r="N140">
        <v>11</v>
      </c>
      <c r="O140">
        <v>12</v>
      </c>
      <c r="P140">
        <v>13</v>
      </c>
      <c r="Q140">
        <v>14</v>
      </c>
      <c r="R140">
        <v>15</v>
      </c>
      <c r="S140">
        <v>16</v>
      </c>
      <c r="T140">
        <v>17</v>
      </c>
      <c r="U140">
        <v>18</v>
      </c>
      <c r="V140">
        <v>19</v>
      </c>
      <c r="W140">
        <v>20</v>
      </c>
      <c r="X140">
        <v>21</v>
      </c>
      <c r="Y140">
        <v>22</v>
      </c>
      <c r="Z140">
        <v>23</v>
      </c>
      <c r="AA140">
        <v>24</v>
      </c>
      <c r="AB140">
        <v>25</v>
      </c>
      <c r="AC140">
        <v>26</v>
      </c>
      <c r="AD140">
        <v>27</v>
      </c>
      <c r="AE140">
        <v>28</v>
      </c>
      <c r="AF140">
        <v>28</v>
      </c>
      <c r="AG140">
        <v>29</v>
      </c>
      <c r="AH140">
        <v>30</v>
      </c>
      <c r="AI140">
        <v>31</v>
      </c>
      <c r="AJ140">
        <v>32</v>
      </c>
    </row>
    <row r="141" spans="1:36" x14ac:dyDescent="0.25">
      <c r="A141" s="24"/>
      <c r="B141">
        <v>227</v>
      </c>
      <c r="C141" t="s">
        <v>28</v>
      </c>
      <c r="D141" t="s">
        <v>28</v>
      </c>
      <c r="E141" t="s">
        <v>28</v>
      </c>
      <c r="F141" t="s">
        <v>28</v>
      </c>
      <c r="G141" t="s">
        <v>28</v>
      </c>
      <c r="H141" t="s">
        <v>28</v>
      </c>
      <c r="I141" t="s">
        <v>28</v>
      </c>
      <c r="J141" t="s">
        <v>28</v>
      </c>
      <c r="K141" t="s">
        <v>28</v>
      </c>
      <c r="L141" t="s">
        <v>28</v>
      </c>
      <c r="M141" t="s">
        <v>28</v>
      </c>
      <c r="N141">
        <v>10</v>
      </c>
      <c r="O141">
        <v>11</v>
      </c>
      <c r="P141">
        <v>12</v>
      </c>
      <c r="Q141">
        <v>13</v>
      </c>
      <c r="R141">
        <v>14</v>
      </c>
      <c r="S141">
        <v>15</v>
      </c>
      <c r="T141">
        <v>16</v>
      </c>
      <c r="U141">
        <v>17</v>
      </c>
      <c r="V141">
        <v>18</v>
      </c>
      <c r="W141">
        <v>19</v>
      </c>
      <c r="X141">
        <v>20</v>
      </c>
      <c r="Y141">
        <v>21</v>
      </c>
      <c r="Z141">
        <v>22</v>
      </c>
      <c r="AA141">
        <v>23</v>
      </c>
      <c r="AB141">
        <v>24</v>
      </c>
      <c r="AC141">
        <v>25</v>
      </c>
      <c r="AD141">
        <v>26</v>
      </c>
      <c r="AE141">
        <v>27</v>
      </c>
      <c r="AF141">
        <v>28</v>
      </c>
      <c r="AG141">
        <v>29</v>
      </c>
      <c r="AH141">
        <v>30</v>
      </c>
      <c r="AI141">
        <v>31</v>
      </c>
      <c r="AJ141">
        <v>32</v>
      </c>
    </row>
    <row r="142" spans="1:36" x14ac:dyDescent="0.25">
      <c r="A142" s="24"/>
      <c r="B142">
        <v>228</v>
      </c>
      <c r="C142" t="s">
        <v>28</v>
      </c>
      <c r="D142" t="s">
        <v>28</v>
      </c>
      <c r="E142" t="s">
        <v>28</v>
      </c>
      <c r="F142" t="s">
        <v>28</v>
      </c>
      <c r="G142" t="s">
        <v>28</v>
      </c>
      <c r="H142" t="s">
        <v>28</v>
      </c>
      <c r="I142" t="s">
        <v>28</v>
      </c>
      <c r="J142" t="s">
        <v>28</v>
      </c>
      <c r="K142" t="s">
        <v>28</v>
      </c>
      <c r="L142" t="s">
        <v>28</v>
      </c>
      <c r="M142" t="s">
        <v>28</v>
      </c>
      <c r="N142">
        <v>10</v>
      </c>
      <c r="O142">
        <v>11</v>
      </c>
      <c r="P142">
        <v>12</v>
      </c>
      <c r="Q142">
        <v>13</v>
      </c>
      <c r="R142">
        <v>14</v>
      </c>
      <c r="S142">
        <v>15</v>
      </c>
      <c r="T142">
        <v>16</v>
      </c>
      <c r="U142">
        <v>17</v>
      </c>
      <c r="V142">
        <v>18</v>
      </c>
      <c r="W142">
        <v>19</v>
      </c>
      <c r="X142">
        <v>20</v>
      </c>
      <c r="Y142">
        <v>21</v>
      </c>
      <c r="Z142">
        <v>22</v>
      </c>
      <c r="AA142">
        <v>23</v>
      </c>
      <c r="AB142">
        <v>24</v>
      </c>
      <c r="AC142">
        <v>25</v>
      </c>
      <c r="AD142">
        <v>26</v>
      </c>
      <c r="AE142">
        <v>27</v>
      </c>
      <c r="AF142">
        <v>28</v>
      </c>
      <c r="AG142">
        <v>29</v>
      </c>
      <c r="AH142">
        <v>30</v>
      </c>
      <c r="AI142">
        <v>31</v>
      </c>
      <c r="AJ142">
        <v>32</v>
      </c>
    </row>
    <row r="143" spans="1:36" x14ac:dyDescent="0.25">
      <c r="A143" s="24"/>
      <c r="B143">
        <v>229</v>
      </c>
      <c r="C143" t="s">
        <v>28</v>
      </c>
      <c r="D143" t="s">
        <v>28</v>
      </c>
      <c r="E143" t="s">
        <v>28</v>
      </c>
      <c r="F143" t="s">
        <v>28</v>
      </c>
      <c r="G143" t="s">
        <v>28</v>
      </c>
      <c r="H143" t="s">
        <v>28</v>
      </c>
      <c r="I143" t="s">
        <v>28</v>
      </c>
      <c r="J143" t="s">
        <v>28</v>
      </c>
      <c r="K143" t="s">
        <v>28</v>
      </c>
      <c r="L143" t="s">
        <v>28</v>
      </c>
      <c r="M143" t="s">
        <v>28</v>
      </c>
      <c r="N143">
        <v>10</v>
      </c>
      <c r="O143">
        <v>11</v>
      </c>
      <c r="P143">
        <v>12</v>
      </c>
      <c r="Q143">
        <v>13</v>
      </c>
      <c r="R143">
        <v>14</v>
      </c>
      <c r="S143">
        <v>15</v>
      </c>
      <c r="T143">
        <v>16</v>
      </c>
      <c r="U143">
        <v>17</v>
      </c>
      <c r="V143">
        <v>18</v>
      </c>
      <c r="W143">
        <v>19</v>
      </c>
      <c r="X143">
        <v>20</v>
      </c>
      <c r="Y143">
        <v>21</v>
      </c>
      <c r="Z143">
        <v>22</v>
      </c>
      <c r="AA143">
        <v>23</v>
      </c>
      <c r="AB143">
        <v>24</v>
      </c>
      <c r="AC143">
        <v>25</v>
      </c>
      <c r="AD143">
        <v>26</v>
      </c>
      <c r="AE143">
        <v>27</v>
      </c>
      <c r="AF143">
        <v>28</v>
      </c>
      <c r="AG143">
        <v>29</v>
      </c>
      <c r="AH143">
        <v>30</v>
      </c>
      <c r="AI143">
        <v>31</v>
      </c>
      <c r="AJ143">
        <v>32</v>
      </c>
    </row>
    <row r="144" spans="1:36" x14ac:dyDescent="0.25">
      <c r="A144" s="24"/>
      <c r="B144">
        <v>230</v>
      </c>
      <c r="C144" t="s">
        <v>28</v>
      </c>
      <c r="D144" t="s">
        <v>28</v>
      </c>
      <c r="E144" t="s">
        <v>28</v>
      </c>
      <c r="F144" t="s">
        <v>28</v>
      </c>
      <c r="G144" t="s">
        <v>28</v>
      </c>
      <c r="H144" t="s">
        <v>28</v>
      </c>
      <c r="I144" t="s">
        <v>28</v>
      </c>
      <c r="J144" t="s">
        <v>28</v>
      </c>
      <c r="K144" t="s">
        <v>28</v>
      </c>
      <c r="L144" t="s">
        <v>28</v>
      </c>
      <c r="M144" t="s">
        <v>28</v>
      </c>
      <c r="N144">
        <v>10</v>
      </c>
      <c r="O144">
        <v>11</v>
      </c>
      <c r="P144">
        <v>12</v>
      </c>
      <c r="Q144">
        <v>13</v>
      </c>
      <c r="R144">
        <v>14</v>
      </c>
      <c r="S144">
        <v>15</v>
      </c>
      <c r="T144">
        <v>16</v>
      </c>
      <c r="U144">
        <v>17</v>
      </c>
      <c r="V144">
        <v>18</v>
      </c>
      <c r="W144">
        <v>19</v>
      </c>
      <c r="X144">
        <v>20</v>
      </c>
      <c r="Y144">
        <v>21</v>
      </c>
      <c r="Z144">
        <v>22</v>
      </c>
      <c r="AA144">
        <v>23</v>
      </c>
      <c r="AB144">
        <v>24</v>
      </c>
      <c r="AC144">
        <v>25</v>
      </c>
      <c r="AD144">
        <v>26</v>
      </c>
      <c r="AE144">
        <v>27</v>
      </c>
      <c r="AF144">
        <v>28</v>
      </c>
      <c r="AG144">
        <v>29</v>
      </c>
      <c r="AH144">
        <v>30</v>
      </c>
      <c r="AI144">
        <v>31</v>
      </c>
      <c r="AJ144">
        <v>32</v>
      </c>
    </row>
    <row r="145" spans="1:36" x14ac:dyDescent="0.25">
      <c r="A145" s="24"/>
      <c r="B145">
        <v>231</v>
      </c>
      <c r="C145" t="s">
        <v>28</v>
      </c>
      <c r="D145" t="s">
        <v>28</v>
      </c>
      <c r="E145" t="s">
        <v>28</v>
      </c>
      <c r="F145" t="s">
        <v>28</v>
      </c>
      <c r="G145" t="s">
        <v>28</v>
      </c>
      <c r="H145" t="s">
        <v>28</v>
      </c>
      <c r="I145" t="s">
        <v>28</v>
      </c>
      <c r="J145" t="s">
        <v>28</v>
      </c>
      <c r="K145" t="s">
        <v>28</v>
      </c>
      <c r="L145" t="s">
        <v>28</v>
      </c>
      <c r="M145" t="s">
        <v>28</v>
      </c>
      <c r="N145">
        <v>10</v>
      </c>
      <c r="O145">
        <v>11</v>
      </c>
      <c r="P145">
        <v>12</v>
      </c>
      <c r="Q145">
        <v>13</v>
      </c>
      <c r="R145">
        <v>14</v>
      </c>
      <c r="S145">
        <v>15</v>
      </c>
      <c r="T145">
        <v>16</v>
      </c>
      <c r="U145">
        <v>17</v>
      </c>
      <c r="V145">
        <v>18</v>
      </c>
      <c r="W145">
        <v>19</v>
      </c>
      <c r="X145">
        <v>20</v>
      </c>
      <c r="Y145">
        <v>21</v>
      </c>
      <c r="Z145">
        <v>22</v>
      </c>
      <c r="AA145">
        <v>23</v>
      </c>
      <c r="AB145">
        <v>24</v>
      </c>
      <c r="AC145">
        <v>25</v>
      </c>
      <c r="AD145">
        <v>26</v>
      </c>
      <c r="AE145">
        <v>27</v>
      </c>
      <c r="AF145">
        <v>28</v>
      </c>
      <c r="AG145">
        <v>29</v>
      </c>
      <c r="AH145">
        <v>30</v>
      </c>
      <c r="AI145">
        <v>31</v>
      </c>
      <c r="AJ145">
        <v>32</v>
      </c>
    </row>
    <row r="146" spans="1:36" x14ac:dyDescent="0.25">
      <c r="A146" s="24"/>
      <c r="B146">
        <v>232</v>
      </c>
      <c r="C146" t="s">
        <v>28</v>
      </c>
      <c r="D146" t="s">
        <v>28</v>
      </c>
      <c r="E146" t="s">
        <v>28</v>
      </c>
      <c r="F146" t="s">
        <v>28</v>
      </c>
      <c r="G146" t="s">
        <v>28</v>
      </c>
      <c r="H146" t="s">
        <v>28</v>
      </c>
      <c r="I146" t="s">
        <v>28</v>
      </c>
      <c r="J146" t="s">
        <v>28</v>
      </c>
      <c r="K146" t="s">
        <v>28</v>
      </c>
      <c r="L146" t="s">
        <v>28</v>
      </c>
      <c r="M146" t="s">
        <v>28</v>
      </c>
      <c r="N146">
        <v>10</v>
      </c>
      <c r="O146">
        <v>11</v>
      </c>
      <c r="P146">
        <v>12</v>
      </c>
      <c r="Q146">
        <v>13</v>
      </c>
      <c r="R146">
        <v>14</v>
      </c>
      <c r="S146">
        <v>15</v>
      </c>
      <c r="T146">
        <v>16</v>
      </c>
      <c r="U146">
        <v>17</v>
      </c>
      <c r="V146">
        <v>18</v>
      </c>
      <c r="W146">
        <v>19</v>
      </c>
      <c r="X146">
        <v>20</v>
      </c>
      <c r="Y146">
        <v>21</v>
      </c>
      <c r="Z146">
        <v>22</v>
      </c>
      <c r="AA146">
        <v>23</v>
      </c>
      <c r="AB146">
        <v>24</v>
      </c>
      <c r="AC146">
        <v>25</v>
      </c>
      <c r="AD146">
        <v>26</v>
      </c>
      <c r="AE146">
        <v>27</v>
      </c>
      <c r="AF146">
        <v>28</v>
      </c>
      <c r="AG146">
        <v>29</v>
      </c>
      <c r="AH146">
        <v>30</v>
      </c>
      <c r="AI146">
        <v>31</v>
      </c>
      <c r="AJ146">
        <v>32</v>
      </c>
    </row>
    <row r="147" spans="1:36" x14ac:dyDescent="0.25">
      <c r="A147" s="24"/>
      <c r="B147">
        <v>233</v>
      </c>
      <c r="C147" t="s">
        <v>28</v>
      </c>
      <c r="D147" t="s">
        <v>28</v>
      </c>
      <c r="E147" t="s">
        <v>28</v>
      </c>
      <c r="F147" t="s">
        <v>28</v>
      </c>
      <c r="G147" t="s">
        <v>28</v>
      </c>
      <c r="H147" t="s">
        <v>28</v>
      </c>
      <c r="I147" t="s">
        <v>28</v>
      </c>
      <c r="J147" t="s">
        <v>28</v>
      </c>
      <c r="K147" t="s">
        <v>28</v>
      </c>
      <c r="L147" t="s">
        <v>28</v>
      </c>
      <c r="M147" t="s">
        <v>28</v>
      </c>
      <c r="N147">
        <v>10</v>
      </c>
      <c r="O147">
        <v>11</v>
      </c>
      <c r="P147">
        <v>12</v>
      </c>
      <c r="Q147">
        <v>13</v>
      </c>
      <c r="R147">
        <v>14</v>
      </c>
      <c r="S147">
        <v>15</v>
      </c>
      <c r="T147">
        <v>16</v>
      </c>
      <c r="U147">
        <v>17</v>
      </c>
      <c r="V147">
        <v>18</v>
      </c>
      <c r="W147">
        <v>19</v>
      </c>
      <c r="X147">
        <v>20</v>
      </c>
      <c r="Y147">
        <v>21</v>
      </c>
      <c r="Z147">
        <v>22</v>
      </c>
      <c r="AA147">
        <v>23</v>
      </c>
      <c r="AB147">
        <v>24</v>
      </c>
      <c r="AC147">
        <v>25</v>
      </c>
      <c r="AD147">
        <v>26</v>
      </c>
      <c r="AE147">
        <v>27</v>
      </c>
      <c r="AF147">
        <v>28</v>
      </c>
      <c r="AG147">
        <v>29</v>
      </c>
      <c r="AH147">
        <v>30</v>
      </c>
      <c r="AI147">
        <v>31</v>
      </c>
      <c r="AJ147">
        <v>32</v>
      </c>
    </row>
    <row r="148" spans="1:36" x14ac:dyDescent="0.25">
      <c r="A148" s="24"/>
      <c r="B148">
        <v>234</v>
      </c>
      <c r="C148" t="s">
        <v>28</v>
      </c>
      <c r="D148" t="s">
        <v>28</v>
      </c>
      <c r="E148" t="s">
        <v>28</v>
      </c>
      <c r="F148" t="s">
        <v>28</v>
      </c>
      <c r="G148" t="s">
        <v>28</v>
      </c>
      <c r="H148" t="s">
        <v>28</v>
      </c>
      <c r="I148" t="s">
        <v>28</v>
      </c>
      <c r="J148" t="s">
        <v>28</v>
      </c>
      <c r="K148" t="s">
        <v>28</v>
      </c>
      <c r="L148" t="s">
        <v>28</v>
      </c>
      <c r="M148" t="s">
        <v>28</v>
      </c>
      <c r="N148">
        <v>10</v>
      </c>
      <c r="O148">
        <v>11</v>
      </c>
      <c r="P148">
        <v>12</v>
      </c>
      <c r="Q148">
        <v>13</v>
      </c>
      <c r="R148">
        <v>14</v>
      </c>
      <c r="S148">
        <v>15</v>
      </c>
      <c r="T148">
        <v>16</v>
      </c>
      <c r="U148">
        <v>17</v>
      </c>
      <c r="V148">
        <v>18</v>
      </c>
      <c r="W148">
        <v>19</v>
      </c>
      <c r="X148">
        <v>20</v>
      </c>
      <c r="Y148">
        <v>21</v>
      </c>
      <c r="Z148">
        <v>22</v>
      </c>
      <c r="AA148">
        <v>23</v>
      </c>
      <c r="AB148">
        <v>24</v>
      </c>
      <c r="AC148">
        <v>25</v>
      </c>
      <c r="AD148">
        <v>26</v>
      </c>
      <c r="AE148">
        <v>27</v>
      </c>
      <c r="AF148">
        <v>28</v>
      </c>
      <c r="AG148">
        <v>29</v>
      </c>
      <c r="AH148">
        <v>30</v>
      </c>
      <c r="AI148">
        <v>31</v>
      </c>
      <c r="AJ148">
        <v>32</v>
      </c>
    </row>
    <row r="149" spans="1:36" x14ac:dyDescent="0.25">
      <c r="A149" s="24"/>
      <c r="B149">
        <v>235</v>
      </c>
      <c r="C149" t="s">
        <v>28</v>
      </c>
      <c r="D149" t="s">
        <v>28</v>
      </c>
      <c r="E149" t="s">
        <v>28</v>
      </c>
      <c r="F149" t="s">
        <v>28</v>
      </c>
      <c r="G149" t="s">
        <v>28</v>
      </c>
      <c r="H149" t="s">
        <v>28</v>
      </c>
      <c r="I149" t="s">
        <v>28</v>
      </c>
      <c r="J149" t="s">
        <v>28</v>
      </c>
      <c r="K149" t="s">
        <v>28</v>
      </c>
      <c r="L149" t="s">
        <v>28</v>
      </c>
      <c r="M149" t="s">
        <v>28</v>
      </c>
      <c r="N149">
        <v>10</v>
      </c>
      <c r="O149">
        <v>10</v>
      </c>
      <c r="P149">
        <v>11</v>
      </c>
      <c r="Q149">
        <v>12</v>
      </c>
      <c r="R149">
        <v>13</v>
      </c>
      <c r="S149">
        <v>14</v>
      </c>
      <c r="T149">
        <v>15</v>
      </c>
      <c r="U149">
        <v>16</v>
      </c>
      <c r="V149">
        <v>17</v>
      </c>
      <c r="W149">
        <v>18</v>
      </c>
      <c r="X149">
        <v>19</v>
      </c>
      <c r="Y149">
        <v>20</v>
      </c>
      <c r="Z149">
        <v>21</v>
      </c>
      <c r="AA149">
        <v>22</v>
      </c>
      <c r="AB149">
        <v>23</v>
      </c>
      <c r="AC149">
        <v>24</v>
      </c>
      <c r="AD149">
        <v>25</v>
      </c>
      <c r="AE149">
        <v>26</v>
      </c>
      <c r="AF149">
        <v>27</v>
      </c>
      <c r="AG149">
        <v>28</v>
      </c>
      <c r="AH149">
        <v>29</v>
      </c>
      <c r="AI149">
        <v>30</v>
      </c>
      <c r="AJ149">
        <v>31</v>
      </c>
    </row>
    <row r="150" spans="1:36" x14ac:dyDescent="0.25">
      <c r="A150" s="24"/>
      <c r="B150">
        <v>236</v>
      </c>
      <c r="C150" t="s">
        <v>28</v>
      </c>
      <c r="D150" t="s">
        <v>28</v>
      </c>
      <c r="E150" t="s">
        <v>28</v>
      </c>
      <c r="F150" t="s">
        <v>28</v>
      </c>
      <c r="G150" t="s">
        <v>28</v>
      </c>
      <c r="H150" t="s">
        <v>28</v>
      </c>
      <c r="I150" t="s">
        <v>28</v>
      </c>
      <c r="J150" t="s">
        <v>28</v>
      </c>
      <c r="K150" t="s">
        <v>28</v>
      </c>
      <c r="L150" t="s">
        <v>28</v>
      </c>
      <c r="M150" t="s">
        <v>28</v>
      </c>
      <c r="N150" t="s">
        <v>28</v>
      </c>
      <c r="O150">
        <v>10</v>
      </c>
      <c r="P150">
        <v>11</v>
      </c>
      <c r="Q150">
        <v>12</v>
      </c>
      <c r="R150">
        <v>13</v>
      </c>
      <c r="S150">
        <v>14</v>
      </c>
      <c r="T150">
        <v>15</v>
      </c>
      <c r="U150">
        <v>16</v>
      </c>
      <c r="V150">
        <v>17</v>
      </c>
      <c r="W150">
        <v>18</v>
      </c>
      <c r="X150">
        <v>19</v>
      </c>
      <c r="Y150">
        <v>20</v>
      </c>
      <c r="Z150">
        <v>21</v>
      </c>
      <c r="AA150">
        <v>22</v>
      </c>
      <c r="AB150">
        <v>23</v>
      </c>
      <c r="AC150">
        <v>24</v>
      </c>
      <c r="AD150">
        <v>25</v>
      </c>
      <c r="AE150">
        <v>26</v>
      </c>
      <c r="AF150">
        <v>27</v>
      </c>
      <c r="AG150">
        <v>28</v>
      </c>
      <c r="AH150">
        <v>29</v>
      </c>
      <c r="AI150">
        <v>30</v>
      </c>
      <c r="AJ150">
        <v>31</v>
      </c>
    </row>
    <row r="151" spans="1:36" x14ac:dyDescent="0.25">
      <c r="A151" s="24"/>
      <c r="B151">
        <v>237</v>
      </c>
      <c r="C151" t="s">
        <v>28</v>
      </c>
      <c r="D151" t="s">
        <v>28</v>
      </c>
      <c r="E151" t="s">
        <v>28</v>
      </c>
      <c r="F151" t="s">
        <v>28</v>
      </c>
      <c r="G151" t="s">
        <v>28</v>
      </c>
      <c r="H151" t="s">
        <v>28</v>
      </c>
      <c r="I151" t="s">
        <v>28</v>
      </c>
      <c r="J151" t="s">
        <v>28</v>
      </c>
      <c r="K151" t="s">
        <v>28</v>
      </c>
      <c r="L151" t="s">
        <v>28</v>
      </c>
      <c r="M151" t="s">
        <v>28</v>
      </c>
      <c r="N151" t="s">
        <v>28</v>
      </c>
      <c r="O151">
        <v>10</v>
      </c>
      <c r="P151">
        <v>11</v>
      </c>
      <c r="Q151">
        <v>12</v>
      </c>
      <c r="R151">
        <v>13</v>
      </c>
      <c r="S151">
        <v>14</v>
      </c>
      <c r="T151">
        <v>15</v>
      </c>
      <c r="U151">
        <v>16</v>
      </c>
      <c r="V151">
        <v>17</v>
      </c>
      <c r="W151">
        <v>18</v>
      </c>
      <c r="X151">
        <v>19</v>
      </c>
      <c r="Y151">
        <v>20</v>
      </c>
      <c r="Z151">
        <v>21</v>
      </c>
      <c r="AA151">
        <v>22</v>
      </c>
      <c r="AB151">
        <v>23</v>
      </c>
      <c r="AC151">
        <v>24</v>
      </c>
      <c r="AD151">
        <v>25</v>
      </c>
      <c r="AE151">
        <v>26</v>
      </c>
      <c r="AF151">
        <v>27</v>
      </c>
      <c r="AG151">
        <v>28</v>
      </c>
      <c r="AH151">
        <v>29</v>
      </c>
      <c r="AI151">
        <v>30</v>
      </c>
      <c r="AJ151">
        <v>31</v>
      </c>
    </row>
    <row r="152" spans="1:36" x14ac:dyDescent="0.25">
      <c r="A152" s="24"/>
      <c r="B152">
        <v>238</v>
      </c>
      <c r="C152" t="s">
        <v>28</v>
      </c>
      <c r="D152" t="s">
        <v>28</v>
      </c>
      <c r="E152" t="s">
        <v>28</v>
      </c>
      <c r="F152" t="s">
        <v>28</v>
      </c>
      <c r="G152" t="s">
        <v>28</v>
      </c>
      <c r="H152" t="s">
        <v>28</v>
      </c>
      <c r="I152" t="s">
        <v>28</v>
      </c>
      <c r="J152" t="s">
        <v>28</v>
      </c>
      <c r="K152" t="s">
        <v>28</v>
      </c>
      <c r="L152" t="s">
        <v>28</v>
      </c>
      <c r="M152" t="s">
        <v>28</v>
      </c>
      <c r="N152" t="s">
        <v>28</v>
      </c>
      <c r="O152">
        <v>10</v>
      </c>
      <c r="P152">
        <v>11</v>
      </c>
      <c r="Q152">
        <v>12</v>
      </c>
      <c r="R152">
        <v>13</v>
      </c>
      <c r="S152">
        <v>14</v>
      </c>
      <c r="T152">
        <v>15</v>
      </c>
      <c r="U152">
        <v>16</v>
      </c>
      <c r="V152">
        <v>17</v>
      </c>
      <c r="W152">
        <v>18</v>
      </c>
      <c r="X152">
        <v>19</v>
      </c>
      <c r="Y152">
        <v>20</v>
      </c>
      <c r="Z152">
        <v>21</v>
      </c>
      <c r="AA152">
        <v>22</v>
      </c>
      <c r="AB152">
        <v>23</v>
      </c>
      <c r="AC152">
        <v>24</v>
      </c>
      <c r="AD152">
        <v>25</v>
      </c>
      <c r="AE152">
        <v>26</v>
      </c>
      <c r="AF152">
        <v>27</v>
      </c>
      <c r="AG152">
        <v>28</v>
      </c>
      <c r="AH152">
        <v>29</v>
      </c>
      <c r="AI152">
        <v>30</v>
      </c>
      <c r="AJ152">
        <v>31</v>
      </c>
    </row>
    <row r="153" spans="1:36" x14ac:dyDescent="0.25">
      <c r="A153" s="24"/>
      <c r="B153">
        <v>239</v>
      </c>
      <c r="C153" t="s">
        <v>28</v>
      </c>
      <c r="D153" t="s">
        <v>28</v>
      </c>
      <c r="E153" t="s">
        <v>28</v>
      </c>
      <c r="F153" t="s">
        <v>28</v>
      </c>
      <c r="G153" t="s">
        <v>28</v>
      </c>
      <c r="H153" t="s">
        <v>28</v>
      </c>
      <c r="I153" t="s">
        <v>28</v>
      </c>
      <c r="J153" t="s">
        <v>28</v>
      </c>
      <c r="K153" t="s">
        <v>28</v>
      </c>
      <c r="L153" t="s">
        <v>28</v>
      </c>
      <c r="M153" t="s">
        <v>28</v>
      </c>
      <c r="N153" t="s">
        <v>28</v>
      </c>
      <c r="O153">
        <v>10</v>
      </c>
      <c r="P153">
        <v>11</v>
      </c>
      <c r="Q153">
        <v>12</v>
      </c>
      <c r="R153">
        <v>13</v>
      </c>
      <c r="S153">
        <v>14</v>
      </c>
      <c r="T153">
        <v>15</v>
      </c>
      <c r="U153">
        <v>16</v>
      </c>
      <c r="V153">
        <v>17</v>
      </c>
      <c r="W153">
        <v>18</v>
      </c>
      <c r="X153">
        <v>19</v>
      </c>
      <c r="Y153">
        <v>20</v>
      </c>
      <c r="Z153">
        <v>21</v>
      </c>
      <c r="AA153">
        <v>22</v>
      </c>
      <c r="AB153">
        <v>23</v>
      </c>
      <c r="AC153">
        <v>24</v>
      </c>
      <c r="AD153">
        <v>25</v>
      </c>
      <c r="AE153">
        <v>26</v>
      </c>
      <c r="AF153">
        <v>27</v>
      </c>
      <c r="AG153">
        <v>28</v>
      </c>
      <c r="AH153">
        <v>29</v>
      </c>
      <c r="AI153">
        <v>30</v>
      </c>
      <c r="AJ153">
        <v>31</v>
      </c>
    </row>
    <row r="154" spans="1:36" x14ac:dyDescent="0.25">
      <c r="A154" s="24"/>
      <c r="B154">
        <v>240</v>
      </c>
      <c r="C154" t="s">
        <v>28</v>
      </c>
      <c r="D154" t="s">
        <v>28</v>
      </c>
      <c r="E154" t="s">
        <v>28</v>
      </c>
      <c r="F154" t="s">
        <v>28</v>
      </c>
      <c r="G154" t="s">
        <v>28</v>
      </c>
      <c r="H154" t="s">
        <v>28</v>
      </c>
      <c r="I154" t="s">
        <v>28</v>
      </c>
      <c r="J154" t="s">
        <v>28</v>
      </c>
      <c r="K154" t="s">
        <v>28</v>
      </c>
      <c r="L154" t="s">
        <v>28</v>
      </c>
      <c r="M154" t="s">
        <v>28</v>
      </c>
      <c r="N154" t="s">
        <v>28</v>
      </c>
      <c r="O154">
        <v>10</v>
      </c>
      <c r="P154">
        <v>11</v>
      </c>
      <c r="Q154">
        <v>12</v>
      </c>
      <c r="R154">
        <v>13</v>
      </c>
      <c r="S154">
        <v>14</v>
      </c>
      <c r="T154">
        <v>15</v>
      </c>
      <c r="U154">
        <v>16</v>
      </c>
      <c r="V154">
        <v>17</v>
      </c>
      <c r="W154">
        <v>18</v>
      </c>
      <c r="X154">
        <v>19</v>
      </c>
      <c r="Y154">
        <v>20</v>
      </c>
      <c r="Z154">
        <v>21</v>
      </c>
      <c r="AA154">
        <v>22</v>
      </c>
      <c r="AB154">
        <v>23</v>
      </c>
      <c r="AC154">
        <v>24</v>
      </c>
      <c r="AD154">
        <v>25</v>
      </c>
      <c r="AE154">
        <v>26</v>
      </c>
      <c r="AF154">
        <v>27</v>
      </c>
      <c r="AG154">
        <v>28</v>
      </c>
      <c r="AH154">
        <v>29</v>
      </c>
      <c r="AI154">
        <v>30</v>
      </c>
      <c r="AJ154">
        <v>31</v>
      </c>
    </row>
    <row r="155" spans="1:36" x14ac:dyDescent="0.25">
      <c r="A155" s="24"/>
      <c r="B155">
        <v>241</v>
      </c>
      <c r="C155" t="s">
        <v>28</v>
      </c>
      <c r="D155" t="s">
        <v>28</v>
      </c>
      <c r="E155" t="s">
        <v>28</v>
      </c>
      <c r="F155" t="s">
        <v>28</v>
      </c>
      <c r="G155" t="s">
        <v>28</v>
      </c>
      <c r="H155" t="s">
        <v>28</v>
      </c>
      <c r="I155" t="s">
        <v>28</v>
      </c>
      <c r="J155" t="s">
        <v>28</v>
      </c>
      <c r="K155" t="s">
        <v>28</v>
      </c>
      <c r="L155" t="s">
        <v>28</v>
      </c>
      <c r="M155" t="s">
        <v>28</v>
      </c>
      <c r="N155" t="s">
        <v>28</v>
      </c>
      <c r="O155">
        <v>10</v>
      </c>
      <c r="P155">
        <v>11</v>
      </c>
      <c r="Q155">
        <v>12</v>
      </c>
      <c r="R155">
        <v>13</v>
      </c>
      <c r="S155">
        <v>14</v>
      </c>
      <c r="T155">
        <v>15</v>
      </c>
      <c r="U155">
        <v>16</v>
      </c>
      <c r="V155">
        <v>17</v>
      </c>
      <c r="W155">
        <v>18</v>
      </c>
      <c r="X155">
        <v>19</v>
      </c>
      <c r="Y155">
        <v>20</v>
      </c>
      <c r="Z155">
        <v>21</v>
      </c>
      <c r="AA155">
        <v>22</v>
      </c>
      <c r="AB155">
        <v>23</v>
      </c>
      <c r="AC155">
        <v>24</v>
      </c>
      <c r="AD155">
        <v>25</v>
      </c>
      <c r="AE155">
        <v>26</v>
      </c>
      <c r="AF155">
        <v>27</v>
      </c>
      <c r="AG155">
        <v>28</v>
      </c>
      <c r="AH155">
        <v>29</v>
      </c>
      <c r="AI155">
        <v>30</v>
      </c>
      <c r="AJ155">
        <v>31</v>
      </c>
    </row>
    <row r="156" spans="1:36" x14ac:dyDescent="0.25">
      <c r="A156" s="24"/>
      <c r="B156">
        <v>242</v>
      </c>
      <c r="C156" t="s">
        <v>28</v>
      </c>
      <c r="D156" t="s">
        <v>28</v>
      </c>
      <c r="E156" t="s">
        <v>28</v>
      </c>
      <c r="F156" t="s">
        <v>28</v>
      </c>
      <c r="G156" t="s">
        <v>28</v>
      </c>
      <c r="H156" t="s">
        <v>28</v>
      </c>
      <c r="I156" t="s">
        <v>28</v>
      </c>
      <c r="J156" t="s">
        <v>28</v>
      </c>
      <c r="K156" t="s">
        <v>28</v>
      </c>
      <c r="L156" t="s">
        <v>28</v>
      </c>
      <c r="M156" t="s">
        <v>28</v>
      </c>
      <c r="N156" t="s">
        <v>28</v>
      </c>
      <c r="O156">
        <v>10</v>
      </c>
      <c r="P156">
        <v>11</v>
      </c>
      <c r="Q156">
        <v>12</v>
      </c>
      <c r="R156">
        <v>13</v>
      </c>
      <c r="S156">
        <v>14</v>
      </c>
      <c r="T156">
        <v>15</v>
      </c>
      <c r="U156">
        <v>16</v>
      </c>
      <c r="V156">
        <v>17</v>
      </c>
      <c r="W156">
        <v>18</v>
      </c>
      <c r="X156">
        <v>19</v>
      </c>
      <c r="Y156">
        <v>20</v>
      </c>
      <c r="Z156">
        <v>21</v>
      </c>
      <c r="AA156">
        <v>22</v>
      </c>
      <c r="AB156">
        <v>23</v>
      </c>
      <c r="AC156">
        <v>24</v>
      </c>
      <c r="AD156">
        <v>25</v>
      </c>
      <c r="AE156">
        <v>26</v>
      </c>
      <c r="AF156">
        <v>27</v>
      </c>
      <c r="AG156">
        <v>28</v>
      </c>
      <c r="AH156">
        <v>29</v>
      </c>
      <c r="AI156">
        <v>30</v>
      </c>
      <c r="AJ156">
        <v>31</v>
      </c>
    </row>
    <row r="157" spans="1:36" x14ac:dyDescent="0.25">
      <c r="A157" s="24"/>
      <c r="B157">
        <v>243</v>
      </c>
      <c r="C157" t="s">
        <v>28</v>
      </c>
      <c r="D157" t="s">
        <v>28</v>
      </c>
      <c r="E157" t="s">
        <v>28</v>
      </c>
      <c r="F157" t="s">
        <v>28</v>
      </c>
      <c r="G157" t="s">
        <v>28</v>
      </c>
      <c r="H157" t="s">
        <v>28</v>
      </c>
      <c r="I157" t="s">
        <v>28</v>
      </c>
      <c r="J157" t="s">
        <v>28</v>
      </c>
      <c r="K157" t="s">
        <v>28</v>
      </c>
      <c r="L157" t="s">
        <v>28</v>
      </c>
      <c r="M157" t="s">
        <v>28</v>
      </c>
      <c r="N157" t="s">
        <v>28</v>
      </c>
      <c r="O157">
        <v>10</v>
      </c>
      <c r="P157">
        <v>11</v>
      </c>
      <c r="Q157">
        <v>12</v>
      </c>
      <c r="R157">
        <v>13</v>
      </c>
      <c r="S157">
        <v>14</v>
      </c>
      <c r="T157">
        <v>15</v>
      </c>
      <c r="U157">
        <v>16</v>
      </c>
      <c r="V157">
        <v>17</v>
      </c>
      <c r="W157">
        <v>18</v>
      </c>
      <c r="X157">
        <v>18</v>
      </c>
      <c r="Y157">
        <v>19</v>
      </c>
      <c r="Z157">
        <v>20</v>
      </c>
      <c r="AA157">
        <v>21</v>
      </c>
      <c r="AB157">
        <v>22</v>
      </c>
      <c r="AC157">
        <v>23</v>
      </c>
      <c r="AD157">
        <v>24</v>
      </c>
      <c r="AE157">
        <v>25</v>
      </c>
      <c r="AF157">
        <v>26</v>
      </c>
      <c r="AG157">
        <v>27</v>
      </c>
      <c r="AH157">
        <v>28</v>
      </c>
      <c r="AI157">
        <v>29</v>
      </c>
      <c r="AJ157">
        <v>30</v>
      </c>
    </row>
    <row r="158" spans="1:36" x14ac:dyDescent="0.25">
      <c r="A158" s="24"/>
      <c r="B158">
        <v>244</v>
      </c>
      <c r="C158" t="s">
        <v>28</v>
      </c>
      <c r="D158" t="s">
        <v>28</v>
      </c>
      <c r="E158" t="s">
        <v>28</v>
      </c>
      <c r="F158" t="s">
        <v>28</v>
      </c>
      <c r="G158" t="s">
        <v>28</v>
      </c>
      <c r="H158" t="s">
        <v>28</v>
      </c>
      <c r="I158" t="s">
        <v>28</v>
      </c>
      <c r="J158" t="s">
        <v>28</v>
      </c>
      <c r="K158" t="s">
        <v>28</v>
      </c>
      <c r="L158" t="s">
        <v>28</v>
      </c>
      <c r="M158" t="s">
        <v>28</v>
      </c>
      <c r="N158" t="s">
        <v>28</v>
      </c>
      <c r="O158" t="s">
        <v>28</v>
      </c>
      <c r="P158">
        <v>10</v>
      </c>
      <c r="Q158">
        <v>11</v>
      </c>
      <c r="R158">
        <v>12</v>
      </c>
      <c r="S158">
        <v>13</v>
      </c>
      <c r="T158">
        <v>14</v>
      </c>
      <c r="U158">
        <v>15</v>
      </c>
      <c r="V158">
        <v>16</v>
      </c>
      <c r="W158">
        <v>17</v>
      </c>
      <c r="X158">
        <v>18</v>
      </c>
      <c r="Y158">
        <v>19</v>
      </c>
      <c r="Z158">
        <v>20</v>
      </c>
      <c r="AA158">
        <v>21</v>
      </c>
      <c r="AB158">
        <v>22</v>
      </c>
      <c r="AC158">
        <v>23</v>
      </c>
      <c r="AD158">
        <v>24</v>
      </c>
      <c r="AE158">
        <v>25</v>
      </c>
      <c r="AF158">
        <v>26</v>
      </c>
      <c r="AG158">
        <v>27</v>
      </c>
      <c r="AH158">
        <v>28</v>
      </c>
      <c r="AI158">
        <v>29</v>
      </c>
      <c r="AJ158">
        <v>30</v>
      </c>
    </row>
    <row r="159" spans="1:36" x14ac:dyDescent="0.25">
      <c r="A159" s="24"/>
      <c r="B159">
        <v>245</v>
      </c>
      <c r="C159" t="s">
        <v>28</v>
      </c>
      <c r="D159" t="s">
        <v>28</v>
      </c>
      <c r="E159" t="s">
        <v>28</v>
      </c>
      <c r="F159" t="s">
        <v>28</v>
      </c>
      <c r="G159" t="s">
        <v>28</v>
      </c>
      <c r="H159" t="s">
        <v>28</v>
      </c>
      <c r="I159" t="s">
        <v>28</v>
      </c>
      <c r="J159" t="s">
        <v>28</v>
      </c>
      <c r="K159" t="s">
        <v>28</v>
      </c>
      <c r="L159" t="s">
        <v>28</v>
      </c>
      <c r="M159" t="s">
        <v>28</v>
      </c>
      <c r="N159" t="s">
        <v>28</v>
      </c>
      <c r="O159" t="s">
        <v>28</v>
      </c>
      <c r="P159">
        <v>10</v>
      </c>
      <c r="Q159">
        <v>11</v>
      </c>
      <c r="R159">
        <v>12</v>
      </c>
      <c r="S159">
        <v>13</v>
      </c>
      <c r="T159">
        <v>14</v>
      </c>
      <c r="U159">
        <v>15</v>
      </c>
      <c r="V159">
        <v>16</v>
      </c>
      <c r="W159">
        <v>17</v>
      </c>
      <c r="X159">
        <v>18</v>
      </c>
      <c r="Y159">
        <v>19</v>
      </c>
      <c r="Z159">
        <v>20</v>
      </c>
      <c r="AA159">
        <v>21</v>
      </c>
      <c r="AB159">
        <v>22</v>
      </c>
      <c r="AC159">
        <v>23</v>
      </c>
      <c r="AD159">
        <v>24</v>
      </c>
      <c r="AE159">
        <v>25</v>
      </c>
      <c r="AF159">
        <v>26</v>
      </c>
      <c r="AG159">
        <v>27</v>
      </c>
      <c r="AH159">
        <v>28</v>
      </c>
      <c r="AI159">
        <v>29</v>
      </c>
      <c r="AJ159">
        <v>30</v>
      </c>
    </row>
    <row r="160" spans="1:36" x14ac:dyDescent="0.25">
      <c r="A160" s="24"/>
      <c r="B160">
        <v>246</v>
      </c>
      <c r="C160" t="s">
        <v>28</v>
      </c>
      <c r="D160" t="s">
        <v>28</v>
      </c>
      <c r="E160" t="s">
        <v>28</v>
      </c>
      <c r="F160" t="s">
        <v>28</v>
      </c>
      <c r="G160" t="s">
        <v>28</v>
      </c>
      <c r="H160" t="s">
        <v>28</v>
      </c>
      <c r="I160" t="s">
        <v>28</v>
      </c>
      <c r="J160" t="s">
        <v>28</v>
      </c>
      <c r="K160" t="s">
        <v>28</v>
      </c>
      <c r="L160" t="s">
        <v>28</v>
      </c>
      <c r="M160" t="s">
        <v>28</v>
      </c>
      <c r="N160" t="s">
        <v>28</v>
      </c>
      <c r="O160" t="s">
        <v>28</v>
      </c>
      <c r="P160">
        <v>10</v>
      </c>
      <c r="Q160">
        <v>11</v>
      </c>
      <c r="R160">
        <v>12</v>
      </c>
      <c r="S160">
        <v>13</v>
      </c>
      <c r="T160">
        <v>14</v>
      </c>
      <c r="U160">
        <v>15</v>
      </c>
      <c r="V160">
        <v>16</v>
      </c>
      <c r="W160">
        <v>17</v>
      </c>
      <c r="X160">
        <v>18</v>
      </c>
      <c r="Y160">
        <v>19</v>
      </c>
      <c r="Z160">
        <v>20</v>
      </c>
      <c r="AA160">
        <v>21</v>
      </c>
      <c r="AB160">
        <v>22</v>
      </c>
      <c r="AC160">
        <v>23</v>
      </c>
      <c r="AD160">
        <v>24</v>
      </c>
      <c r="AE160">
        <v>25</v>
      </c>
      <c r="AF160">
        <v>26</v>
      </c>
      <c r="AG160">
        <v>27</v>
      </c>
      <c r="AH160">
        <v>28</v>
      </c>
      <c r="AI160">
        <v>29</v>
      </c>
      <c r="AJ160">
        <v>30</v>
      </c>
    </row>
    <row r="161" spans="1:36" x14ac:dyDescent="0.25">
      <c r="A161" s="24"/>
      <c r="B161">
        <v>247</v>
      </c>
      <c r="C161" t="s">
        <v>28</v>
      </c>
      <c r="D161" t="s">
        <v>28</v>
      </c>
      <c r="E161" t="s">
        <v>28</v>
      </c>
      <c r="F161" t="s">
        <v>28</v>
      </c>
      <c r="G161" t="s">
        <v>28</v>
      </c>
      <c r="H161" t="s">
        <v>28</v>
      </c>
      <c r="I161" t="s">
        <v>28</v>
      </c>
      <c r="J161" t="s">
        <v>28</v>
      </c>
      <c r="K161" t="s">
        <v>28</v>
      </c>
      <c r="L161" t="s">
        <v>28</v>
      </c>
      <c r="M161" t="s">
        <v>28</v>
      </c>
      <c r="N161" t="s">
        <v>28</v>
      </c>
      <c r="O161" t="s">
        <v>28</v>
      </c>
      <c r="P161">
        <v>10</v>
      </c>
      <c r="Q161">
        <v>11</v>
      </c>
      <c r="R161">
        <v>12</v>
      </c>
      <c r="S161">
        <v>13</v>
      </c>
      <c r="T161">
        <v>14</v>
      </c>
      <c r="U161">
        <v>15</v>
      </c>
      <c r="V161">
        <v>16</v>
      </c>
      <c r="W161">
        <v>17</v>
      </c>
      <c r="X161">
        <v>18</v>
      </c>
      <c r="Y161">
        <v>19</v>
      </c>
      <c r="Z161">
        <v>20</v>
      </c>
      <c r="AA161">
        <v>21</v>
      </c>
      <c r="AB161">
        <v>22</v>
      </c>
      <c r="AC161">
        <v>23</v>
      </c>
      <c r="AD161">
        <v>24</v>
      </c>
      <c r="AE161">
        <v>25</v>
      </c>
      <c r="AF161">
        <v>26</v>
      </c>
      <c r="AG161">
        <v>27</v>
      </c>
      <c r="AH161">
        <v>28</v>
      </c>
      <c r="AI161">
        <v>29</v>
      </c>
      <c r="AJ161">
        <v>30</v>
      </c>
    </row>
    <row r="162" spans="1:36" x14ac:dyDescent="0.25">
      <c r="A162" s="24"/>
      <c r="B162">
        <v>248</v>
      </c>
      <c r="C162" t="s">
        <v>28</v>
      </c>
      <c r="D162" t="s">
        <v>28</v>
      </c>
      <c r="E162" t="s">
        <v>28</v>
      </c>
      <c r="F162" t="s">
        <v>28</v>
      </c>
      <c r="G162" t="s">
        <v>28</v>
      </c>
      <c r="H162" t="s">
        <v>28</v>
      </c>
      <c r="I162" t="s">
        <v>28</v>
      </c>
      <c r="J162" t="s">
        <v>28</v>
      </c>
      <c r="K162" t="s">
        <v>28</v>
      </c>
      <c r="L162" t="s">
        <v>28</v>
      </c>
      <c r="M162" t="s">
        <v>28</v>
      </c>
      <c r="N162" t="s">
        <v>28</v>
      </c>
      <c r="O162" t="s">
        <v>28</v>
      </c>
      <c r="P162">
        <v>10</v>
      </c>
      <c r="Q162">
        <v>11</v>
      </c>
      <c r="R162">
        <v>12</v>
      </c>
      <c r="S162">
        <v>13</v>
      </c>
      <c r="T162">
        <v>14</v>
      </c>
      <c r="U162">
        <v>15</v>
      </c>
      <c r="V162">
        <v>16</v>
      </c>
      <c r="W162">
        <v>17</v>
      </c>
      <c r="X162">
        <v>18</v>
      </c>
      <c r="Y162">
        <v>19</v>
      </c>
      <c r="Z162">
        <v>20</v>
      </c>
      <c r="AA162">
        <v>21</v>
      </c>
      <c r="AB162">
        <v>22</v>
      </c>
      <c r="AC162">
        <v>23</v>
      </c>
      <c r="AD162">
        <v>24</v>
      </c>
      <c r="AE162">
        <v>25</v>
      </c>
      <c r="AF162">
        <v>26</v>
      </c>
      <c r="AG162">
        <v>27</v>
      </c>
      <c r="AH162">
        <v>28</v>
      </c>
      <c r="AI162">
        <v>29</v>
      </c>
      <c r="AJ162">
        <v>30</v>
      </c>
    </row>
    <row r="163" spans="1:36" x14ac:dyDescent="0.25">
      <c r="A163" s="24"/>
      <c r="B163">
        <v>249</v>
      </c>
      <c r="C163" t="s">
        <v>28</v>
      </c>
      <c r="D163" t="s">
        <v>28</v>
      </c>
      <c r="E163" t="s">
        <v>28</v>
      </c>
      <c r="F163" t="s">
        <v>28</v>
      </c>
      <c r="G163" t="s">
        <v>28</v>
      </c>
      <c r="H163" t="s">
        <v>28</v>
      </c>
      <c r="I163" t="s">
        <v>28</v>
      </c>
      <c r="J163" t="s">
        <v>28</v>
      </c>
      <c r="K163" t="s">
        <v>28</v>
      </c>
      <c r="L163" t="s">
        <v>28</v>
      </c>
      <c r="M163" t="s">
        <v>28</v>
      </c>
      <c r="N163" t="s">
        <v>28</v>
      </c>
      <c r="O163" t="s">
        <v>28</v>
      </c>
      <c r="P163">
        <v>10</v>
      </c>
      <c r="Q163">
        <v>11</v>
      </c>
      <c r="R163">
        <v>12</v>
      </c>
      <c r="S163">
        <v>13</v>
      </c>
      <c r="T163">
        <v>14</v>
      </c>
      <c r="U163">
        <v>15</v>
      </c>
      <c r="V163">
        <v>16</v>
      </c>
      <c r="W163">
        <v>17</v>
      </c>
      <c r="X163">
        <v>18</v>
      </c>
      <c r="Y163">
        <v>19</v>
      </c>
      <c r="Z163">
        <v>20</v>
      </c>
      <c r="AA163">
        <v>21</v>
      </c>
      <c r="AB163">
        <v>22</v>
      </c>
      <c r="AC163">
        <v>23</v>
      </c>
      <c r="AD163">
        <v>24</v>
      </c>
      <c r="AE163">
        <v>25</v>
      </c>
      <c r="AF163">
        <v>26</v>
      </c>
      <c r="AG163">
        <v>27</v>
      </c>
      <c r="AH163">
        <v>28</v>
      </c>
      <c r="AI163">
        <v>29</v>
      </c>
      <c r="AJ163">
        <v>30</v>
      </c>
    </row>
    <row r="164" spans="1:36" x14ac:dyDescent="0.25">
      <c r="A164" s="24"/>
      <c r="B164">
        <v>250</v>
      </c>
      <c r="C164" t="s">
        <v>28</v>
      </c>
      <c r="D164" t="s">
        <v>28</v>
      </c>
      <c r="E164" t="s">
        <v>28</v>
      </c>
      <c r="F164" t="s">
        <v>28</v>
      </c>
      <c r="G164" t="s">
        <v>28</v>
      </c>
      <c r="H164" t="s">
        <v>28</v>
      </c>
      <c r="I164" t="s">
        <v>28</v>
      </c>
      <c r="J164" t="s">
        <v>28</v>
      </c>
      <c r="K164" t="s">
        <v>28</v>
      </c>
      <c r="L164" t="s">
        <v>28</v>
      </c>
      <c r="M164" t="s">
        <v>28</v>
      </c>
      <c r="N164" t="s">
        <v>28</v>
      </c>
      <c r="O164" t="s">
        <v>28</v>
      </c>
      <c r="P164">
        <v>10</v>
      </c>
      <c r="Q164">
        <v>11</v>
      </c>
      <c r="R164">
        <v>12</v>
      </c>
      <c r="S164">
        <v>13</v>
      </c>
      <c r="T164">
        <v>14</v>
      </c>
      <c r="U164">
        <v>15</v>
      </c>
      <c r="V164">
        <v>16</v>
      </c>
      <c r="W164">
        <v>17</v>
      </c>
      <c r="X164">
        <v>18</v>
      </c>
      <c r="Y164">
        <v>19</v>
      </c>
      <c r="Z164">
        <v>20</v>
      </c>
      <c r="AA164">
        <v>21</v>
      </c>
      <c r="AB164">
        <v>22</v>
      </c>
      <c r="AC164">
        <v>23</v>
      </c>
      <c r="AD164">
        <v>24</v>
      </c>
      <c r="AE164">
        <v>25</v>
      </c>
      <c r="AF164">
        <v>26</v>
      </c>
      <c r="AG164">
        <v>27</v>
      </c>
      <c r="AH164">
        <v>28</v>
      </c>
      <c r="AI164">
        <v>29</v>
      </c>
      <c r="AJ164">
        <v>30</v>
      </c>
    </row>
  </sheetData>
  <mergeCells count="4">
    <mergeCell ref="A4:A164"/>
    <mergeCell ref="C1:AJ1"/>
    <mergeCell ref="C2:AJ2"/>
    <mergeCell ref="A2:A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E5B33-30CD-47F7-A21D-ACF2DCAD761F}">
  <sheetPr codeName="Sheet6"/>
  <dimension ref="A1:AO164"/>
  <sheetViews>
    <sheetView zoomScale="115" zoomScaleNormal="115" workbookViewId="0">
      <pane xSplit="1" ySplit="2" topLeftCell="B137" activePane="bottomRight" state="frozen"/>
      <selection pane="topRight" activeCell="B1" sqref="B1"/>
      <selection pane="bottomLeft" activeCell="A3" sqref="A3"/>
      <selection pane="bottomRight" activeCell="C13" sqref="C13"/>
    </sheetView>
  </sheetViews>
  <sheetFormatPr defaultRowHeight="15" x14ac:dyDescent="0.25"/>
  <cols>
    <col min="2" max="2" width="4.42578125" bestFit="1" customWidth="1"/>
    <col min="3" max="36" width="5" bestFit="1" customWidth="1"/>
    <col min="37" max="41" width="5" customWidth="1"/>
  </cols>
  <sheetData>
    <row r="1" spans="1:41" x14ac:dyDescent="0.25">
      <c r="A1" s="11"/>
      <c r="B1" s="11"/>
      <c r="C1" s="25" t="s">
        <v>31</v>
      </c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</row>
    <row r="2" spans="1:41" ht="15" customHeight="1" x14ac:dyDescent="0.25">
      <c r="A2" s="20"/>
      <c r="C2" s="25" t="s">
        <v>29</v>
      </c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10"/>
      <c r="AL2" s="10"/>
      <c r="AM2" s="10"/>
      <c r="AN2" s="10"/>
      <c r="AO2" s="10"/>
    </row>
    <row r="3" spans="1:41" x14ac:dyDescent="0.25">
      <c r="A3" s="20"/>
      <c r="C3" s="10">
        <v>25</v>
      </c>
      <c r="D3" s="10">
        <v>25.5</v>
      </c>
      <c r="E3" s="10">
        <v>26</v>
      </c>
      <c r="F3" s="10">
        <v>26.5</v>
      </c>
      <c r="G3" s="10">
        <v>27</v>
      </c>
      <c r="H3" s="10">
        <v>27.5</v>
      </c>
      <c r="I3" s="10">
        <v>28</v>
      </c>
      <c r="J3" s="10">
        <v>28.5</v>
      </c>
      <c r="K3" s="10">
        <v>29</v>
      </c>
      <c r="L3" s="10">
        <v>29.5</v>
      </c>
      <c r="M3" s="10">
        <v>30</v>
      </c>
      <c r="N3" s="10">
        <v>30.5</v>
      </c>
      <c r="O3" s="10">
        <v>31</v>
      </c>
      <c r="P3" s="10">
        <v>31.5</v>
      </c>
      <c r="Q3" s="10">
        <v>32</v>
      </c>
      <c r="R3" s="10">
        <v>32.5</v>
      </c>
      <c r="S3" s="10">
        <v>33</v>
      </c>
      <c r="T3" s="10">
        <v>33.5</v>
      </c>
      <c r="U3" s="10">
        <v>34</v>
      </c>
      <c r="V3" s="10">
        <v>34.5</v>
      </c>
      <c r="W3" s="10">
        <v>35</v>
      </c>
      <c r="X3" s="10">
        <v>35.5</v>
      </c>
      <c r="Y3" s="10">
        <v>36</v>
      </c>
      <c r="Z3" s="10">
        <v>36.5</v>
      </c>
      <c r="AA3" s="10">
        <v>37</v>
      </c>
      <c r="AB3" s="10">
        <v>37.5</v>
      </c>
      <c r="AC3" s="10">
        <v>38</v>
      </c>
      <c r="AD3" s="10">
        <v>38.5</v>
      </c>
      <c r="AE3" s="10">
        <v>39</v>
      </c>
      <c r="AF3" s="10">
        <v>39.5</v>
      </c>
      <c r="AG3" s="10">
        <v>40</v>
      </c>
      <c r="AH3" s="10">
        <v>40.5</v>
      </c>
      <c r="AI3" s="10">
        <v>41</v>
      </c>
      <c r="AJ3" s="10">
        <v>41.5</v>
      </c>
    </row>
    <row r="4" spans="1:41" ht="15" customHeight="1" x14ac:dyDescent="0.25">
      <c r="A4" s="24" t="s">
        <v>32</v>
      </c>
      <c r="B4">
        <v>90</v>
      </c>
      <c r="C4">
        <v>21</v>
      </c>
      <c r="D4">
        <v>22</v>
      </c>
      <c r="E4">
        <v>23</v>
      </c>
      <c r="F4">
        <v>23</v>
      </c>
      <c r="G4">
        <v>24</v>
      </c>
      <c r="H4">
        <v>24</v>
      </c>
      <c r="I4">
        <v>25</v>
      </c>
      <c r="J4">
        <v>26</v>
      </c>
      <c r="K4">
        <v>26</v>
      </c>
      <c r="L4">
        <v>27</v>
      </c>
      <c r="M4">
        <v>28</v>
      </c>
      <c r="N4">
        <v>28</v>
      </c>
      <c r="O4">
        <v>29</v>
      </c>
      <c r="P4">
        <v>30</v>
      </c>
      <c r="Q4">
        <v>30</v>
      </c>
      <c r="R4">
        <v>31</v>
      </c>
      <c r="S4">
        <v>31</v>
      </c>
      <c r="T4">
        <v>32</v>
      </c>
      <c r="U4">
        <v>33</v>
      </c>
      <c r="V4">
        <v>33</v>
      </c>
      <c r="W4">
        <v>34</v>
      </c>
      <c r="X4">
        <v>35</v>
      </c>
      <c r="Y4">
        <v>35</v>
      </c>
      <c r="Z4">
        <v>36</v>
      </c>
      <c r="AA4">
        <v>36</v>
      </c>
      <c r="AB4">
        <v>37</v>
      </c>
      <c r="AC4">
        <v>38</v>
      </c>
      <c r="AD4">
        <v>38</v>
      </c>
      <c r="AE4">
        <v>39</v>
      </c>
      <c r="AF4">
        <v>40</v>
      </c>
      <c r="AG4">
        <v>40</v>
      </c>
      <c r="AH4">
        <v>41</v>
      </c>
      <c r="AI4">
        <v>42</v>
      </c>
      <c r="AJ4">
        <v>42</v>
      </c>
    </row>
    <row r="5" spans="1:41" x14ac:dyDescent="0.25">
      <c r="A5" s="24"/>
      <c r="B5">
        <v>91</v>
      </c>
      <c r="C5">
        <v>21</v>
      </c>
      <c r="D5">
        <v>22</v>
      </c>
      <c r="E5">
        <v>23</v>
      </c>
      <c r="F5">
        <v>23</v>
      </c>
      <c r="G5">
        <v>24</v>
      </c>
      <c r="H5">
        <v>24</v>
      </c>
      <c r="I5">
        <v>25</v>
      </c>
      <c r="J5">
        <v>26</v>
      </c>
      <c r="K5">
        <v>26</v>
      </c>
      <c r="L5">
        <v>27</v>
      </c>
      <c r="M5">
        <v>28</v>
      </c>
      <c r="N5">
        <v>28</v>
      </c>
      <c r="O5">
        <v>29</v>
      </c>
      <c r="P5">
        <v>29</v>
      </c>
      <c r="Q5">
        <v>30</v>
      </c>
      <c r="R5">
        <v>31</v>
      </c>
      <c r="S5">
        <v>31</v>
      </c>
      <c r="T5">
        <v>32</v>
      </c>
      <c r="U5">
        <v>33</v>
      </c>
      <c r="V5">
        <v>33</v>
      </c>
      <c r="W5">
        <v>34</v>
      </c>
      <c r="X5">
        <v>35</v>
      </c>
      <c r="Y5">
        <v>35</v>
      </c>
      <c r="Z5">
        <v>36</v>
      </c>
      <c r="AA5">
        <v>36</v>
      </c>
      <c r="AB5">
        <v>37</v>
      </c>
      <c r="AC5">
        <v>38</v>
      </c>
      <c r="AD5">
        <v>38</v>
      </c>
      <c r="AE5">
        <v>39</v>
      </c>
      <c r="AF5">
        <v>40</v>
      </c>
      <c r="AG5">
        <v>40</v>
      </c>
      <c r="AH5">
        <v>41</v>
      </c>
      <c r="AI5">
        <v>42</v>
      </c>
      <c r="AJ5">
        <v>42</v>
      </c>
    </row>
    <row r="6" spans="1:41" x14ac:dyDescent="0.25">
      <c r="A6" s="24"/>
      <c r="B6">
        <v>92</v>
      </c>
      <c r="C6">
        <v>21</v>
      </c>
      <c r="D6">
        <v>22</v>
      </c>
      <c r="E6">
        <v>22</v>
      </c>
      <c r="F6">
        <v>23</v>
      </c>
      <c r="G6">
        <v>24</v>
      </c>
      <c r="H6">
        <v>24</v>
      </c>
      <c r="I6">
        <v>25</v>
      </c>
      <c r="J6">
        <v>26</v>
      </c>
      <c r="K6">
        <v>26</v>
      </c>
      <c r="L6">
        <v>27</v>
      </c>
      <c r="M6">
        <v>28</v>
      </c>
      <c r="N6">
        <v>28</v>
      </c>
      <c r="O6">
        <v>29</v>
      </c>
      <c r="P6">
        <v>29</v>
      </c>
      <c r="Q6">
        <v>30</v>
      </c>
      <c r="R6">
        <v>31</v>
      </c>
      <c r="S6">
        <v>31</v>
      </c>
      <c r="T6">
        <v>32</v>
      </c>
      <c r="U6">
        <v>33</v>
      </c>
      <c r="V6">
        <v>33</v>
      </c>
      <c r="W6">
        <v>34</v>
      </c>
      <c r="X6">
        <v>35</v>
      </c>
      <c r="Y6">
        <v>35</v>
      </c>
      <c r="Z6">
        <v>36</v>
      </c>
      <c r="AA6">
        <v>36</v>
      </c>
      <c r="AB6">
        <v>37</v>
      </c>
      <c r="AC6">
        <v>38</v>
      </c>
      <c r="AD6">
        <v>38</v>
      </c>
      <c r="AE6">
        <v>39</v>
      </c>
      <c r="AF6">
        <v>40</v>
      </c>
      <c r="AG6">
        <v>40</v>
      </c>
      <c r="AH6">
        <v>41</v>
      </c>
      <c r="AI6">
        <v>42</v>
      </c>
      <c r="AJ6">
        <v>42</v>
      </c>
    </row>
    <row r="7" spans="1:41" x14ac:dyDescent="0.25">
      <c r="A7" s="24"/>
      <c r="B7">
        <v>93</v>
      </c>
      <c r="C7">
        <v>21</v>
      </c>
      <c r="D7">
        <v>22</v>
      </c>
      <c r="E7">
        <v>22</v>
      </c>
      <c r="F7">
        <v>23</v>
      </c>
      <c r="G7">
        <v>24</v>
      </c>
      <c r="H7">
        <v>24</v>
      </c>
      <c r="I7">
        <v>25</v>
      </c>
      <c r="J7">
        <v>26</v>
      </c>
      <c r="K7">
        <v>26</v>
      </c>
      <c r="L7">
        <v>27</v>
      </c>
      <c r="M7">
        <v>28</v>
      </c>
      <c r="N7">
        <v>28</v>
      </c>
      <c r="O7">
        <v>29</v>
      </c>
      <c r="P7">
        <v>29</v>
      </c>
      <c r="Q7">
        <v>30</v>
      </c>
      <c r="R7">
        <v>31</v>
      </c>
      <c r="S7">
        <v>31</v>
      </c>
      <c r="T7">
        <v>32</v>
      </c>
      <c r="U7">
        <v>33</v>
      </c>
      <c r="V7">
        <v>33</v>
      </c>
      <c r="W7">
        <v>34</v>
      </c>
      <c r="X7">
        <v>35</v>
      </c>
      <c r="Y7">
        <v>35</v>
      </c>
      <c r="Z7">
        <v>36</v>
      </c>
      <c r="AA7">
        <v>36</v>
      </c>
      <c r="AB7">
        <v>37</v>
      </c>
      <c r="AC7">
        <v>38</v>
      </c>
      <c r="AD7">
        <v>38</v>
      </c>
      <c r="AE7">
        <v>39</v>
      </c>
      <c r="AF7">
        <v>40</v>
      </c>
      <c r="AG7">
        <v>40</v>
      </c>
      <c r="AH7">
        <v>41</v>
      </c>
      <c r="AI7">
        <v>42</v>
      </c>
      <c r="AJ7">
        <v>42</v>
      </c>
    </row>
    <row r="8" spans="1:41" x14ac:dyDescent="0.25">
      <c r="A8" s="24"/>
      <c r="B8">
        <v>94</v>
      </c>
      <c r="C8">
        <v>21</v>
      </c>
      <c r="D8">
        <v>22</v>
      </c>
      <c r="E8">
        <v>22</v>
      </c>
      <c r="F8">
        <v>23</v>
      </c>
      <c r="G8">
        <v>24</v>
      </c>
      <c r="H8">
        <v>24</v>
      </c>
      <c r="I8">
        <v>25</v>
      </c>
      <c r="J8">
        <v>26</v>
      </c>
      <c r="K8">
        <v>26</v>
      </c>
      <c r="L8">
        <v>27</v>
      </c>
      <c r="M8">
        <v>28</v>
      </c>
      <c r="N8">
        <v>28</v>
      </c>
      <c r="O8">
        <v>29</v>
      </c>
      <c r="P8">
        <v>29</v>
      </c>
      <c r="Q8">
        <v>30</v>
      </c>
      <c r="R8">
        <v>31</v>
      </c>
      <c r="S8">
        <v>31</v>
      </c>
      <c r="T8">
        <v>32</v>
      </c>
      <c r="U8">
        <v>33</v>
      </c>
      <c r="V8">
        <v>33</v>
      </c>
      <c r="W8">
        <v>34</v>
      </c>
      <c r="X8">
        <v>35</v>
      </c>
      <c r="Y8">
        <v>35</v>
      </c>
      <c r="Z8">
        <v>36</v>
      </c>
      <c r="AA8">
        <v>36</v>
      </c>
      <c r="AB8">
        <v>37</v>
      </c>
      <c r="AC8">
        <v>38</v>
      </c>
      <c r="AD8">
        <v>38</v>
      </c>
      <c r="AE8">
        <v>39</v>
      </c>
      <c r="AF8">
        <v>40</v>
      </c>
      <c r="AG8">
        <v>40</v>
      </c>
      <c r="AH8">
        <v>41</v>
      </c>
      <c r="AI8">
        <v>42</v>
      </c>
      <c r="AJ8">
        <v>42</v>
      </c>
    </row>
    <row r="9" spans="1:41" x14ac:dyDescent="0.25">
      <c r="A9" s="24"/>
      <c r="B9">
        <v>95</v>
      </c>
      <c r="C9">
        <v>21</v>
      </c>
      <c r="D9">
        <v>22</v>
      </c>
      <c r="E9">
        <v>22</v>
      </c>
      <c r="F9">
        <v>23</v>
      </c>
      <c r="G9">
        <v>24</v>
      </c>
      <c r="H9">
        <v>24</v>
      </c>
      <c r="I9">
        <v>25</v>
      </c>
      <c r="J9">
        <v>26</v>
      </c>
      <c r="K9">
        <v>26</v>
      </c>
      <c r="L9">
        <v>27</v>
      </c>
      <c r="M9">
        <v>28</v>
      </c>
      <c r="N9">
        <v>28</v>
      </c>
      <c r="O9">
        <v>29</v>
      </c>
      <c r="P9">
        <v>29</v>
      </c>
      <c r="Q9">
        <v>30</v>
      </c>
      <c r="R9">
        <v>31</v>
      </c>
      <c r="S9">
        <v>31</v>
      </c>
      <c r="T9">
        <v>32</v>
      </c>
      <c r="U9">
        <v>33</v>
      </c>
      <c r="V9">
        <v>33</v>
      </c>
      <c r="W9">
        <v>34</v>
      </c>
      <c r="X9">
        <v>35</v>
      </c>
      <c r="Y9">
        <v>35</v>
      </c>
      <c r="Z9">
        <v>36</v>
      </c>
      <c r="AA9">
        <v>36</v>
      </c>
      <c r="AB9">
        <v>37</v>
      </c>
      <c r="AC9">
        <v>38</v>
      </c>
      <c r="AD9">
        <v>38</v>
      </c>
      <c r="AE9">
        <v>39</v>
      </c>
      <c r="AF9">
        <v>40</v>
      </c>
      <c r="AG9">
        <v>40</v>
      </c>
      <c r="AH9">
        <v>41</v>
      </c>
      <c r="AI9">
        <v>41</v>
      </c>
      <c r="AJ9">
        <v>42</v>
      </c>
    </row>
    <row r="10" spans="1:41" x14ac:dyDescent="0.25">
      <c r="A10" s="24"/>
      <c r="B10">
        <v>96</v>
      </c>
      <c r="C10">
        <v>21</v>
      </c>
      <c r="D10">
        <v>22</v>
      </c>
      <c r="E10">
        <v>22</v>
      </c>
      <c r="F10">
        <v>23</v>
      </c>
      <c r="G10">
        <v>24</v>
      </c>
      <c r="H10">
        <v>24</v>
      </c>
      <c r="I10">
        <v>25</v>
      </c>
      <c r="J10">
        <v>26</v>
      </c>
      <c r="K10">
        <v>26</v>
      </c>
      <c r="L10">
        <v>27</v>
      </c>
      <c r="M10">
        <v>28</v>
      </c>
      <c r="N10">
        <v>28</v>
      </c>
      <c r="O10">
        <v>29</v>
      </c>
      <c r="P10">
        <v>29</v>
      </c>
      <c r="Q10">
        <v>30</v>
      </c>
      <c r="R10">
        <v>31</v>
      </c>
      <c r="S10">
        <v>31</v>
      </c>
      <c r="T10">
        <v>32</v>
      </c>
      <c r="U10">
        <v>33</v>
      </c>
      <c r="V10">
        <v>33</v>
      </c>
      <c r="W10">
        <v>34</v>
      </c>
      <c r="X10">
        <v>34</v>
      </c>
      <c r="Y10">
        <v>35</v>
      </c>
      <c r="Z10">
        <v>36</v>
      </c>
      <c r="AA10">
        <v>36</v>
      </c>
      <c r="AB10">
        <v>37</v>
      </c>
      <c r="AC10">
        <v>38</v>
      </c>
      <c r="AD10">
        <v>38</v>
      </c>
      <c r="AE10">
        <v>39</v>
      </c>
      <c r="AF10">
        <v>40</v>
      </c>
      <c r="AG10">
        <v>40</v>
      </c>
      <c r="AH10">
        <v>41</v>
      </c>
      <c r="AI10">
        <v>41</v>
      </c>
      <c r="AJ10">
        <v>42</v>
      </c>
    </row>
    <row r="11" spans="1:41" x14ac:dyDescent="0.25">
      <c r="A11" s="24"/>
      <c r="B11">
        <v>97</v>
      </c>
      <c r="C11">
        <v>21</v>
      </c>
      <c r="D11">
        <v>22</v>
      </c>
      <c r="E11">
        <v>22</v>
      </c>
      <c r="F11">
        <v>23</v>
      </c>
      <c r="G11">
        <v>24</v>
      </c>
      <c r="H11">
        <v>24</v>
      </c>
      <c r="I11">
        <v>25</v>
      </c>
      <c r="J11">
        <v>26</v>
      </c>
      <c r="K11">
        <v>26</v>
      </c>
      <c r="L11">
        <v>27</v>
      </c>
      <c r="M11">
        <v>27</v>
      </c>
      <c r="N11">
        <v>28</v>
      </c>
      <c r="O11">
        <v>29</v>
      </c>
      <c r="P11">
        <v>29</v>
      </c>
      <c r="Q11">
        <v>30</v>
      </c>
      <c r="R11">
        <v>31</v>
      </c>
      <c r="S11">
        <v>31</v>
      </c>
      <c r="T11">
        <v>32</v>
      </c>
      <c r="U11">
        <v>33</v>
      </c>
      <c r="V11">
        <v>33</v>
      </c>
      <c r="W11">
        <v>34</v>
      </c>
      <c r="X11">
        <v>34</v>
      </c>
      <c r="Y11">
        <v>35</v>
      </c>
      <c r="Z11">
        <v>36</v>
      </c>
      <c r="AA11">
        <v>36</v>
      </c>
      <c r="AB11">
        <v>37</v>
      </c>
      <c r="AC11">
        <v>38</v>
      </c>
      <c r="AD11">
        <v>38</v>
      </c>
      <c r="AE11">
        <v>39</v>
      </c>
      <c r="AF11">
        <v>40</v>
      </c>
      <c r="AG11">
        <v>40</v>
      </c>
      <c r="AH11">
        <v>41</v>
      </c>
      <c r="AI11">
        <v>41</v>
      </c>
      <c r="AJ11">
        <v>42</v>
      </c>
    </row>
    <row r="12" spans="1:41" x14ac:dyDescent="0.25">
      <c r="A12" s="24"/>
      <c r="B12">
        <v>98</v>
      </c>
      <c r="C12">
        <v>21</v>
      </c>
      <c r="D12">
        <v>22</v>
      </c>
      <c r="E12">
        <v>22</v>
      </c>
      <c r="F12">
        <v>23</v>
      </c>
      <c r="G12">
        <v>24</v>
      </c>
      <c r="H12">
        <v>24</v>
      </c>
      <c r="I12">
        <v>25</v>
      </c>
      <c r="J12">
        <v>26</v>
      </c>
      <c r="K12">
        <v>26</v>
      </c>
      <c r="L12">
        <v>27</v>
      </c>
      <c r="M12">
        <v>27</v>
      </c>
      <c r="N12">
        <v>28</v>
      </c>
      <c r="O12">
        <v>29</v>
      </c>
      <c r="P12">
        <v>29</v>
      </c>
      <c r="Q12">
        <v>30</v>
      </c>
      <c r="R12">
        <v>31</v>
      </c>
      <c r="S12">
        <v>31</v>
      </c>
      <c r="T12">
        <v>32</v>
      </c>
      <c r="U12">
        <v>33</v>
      </c>
      <c r="V12">
        <v>33</v>
      </c>
      <c r="W12">
        <v>34</v>
      </c>
      <c r="X12">
        <v>34</v>
      </c>
      <c r="Y12">
        <v>35</v>
      </c>
      <c r="Z12">
        <v>36</v>
      </c>
      <c r="AA12">
        <v>36</v>
      </c>
      <c r="AB12">
        <v>37</v>
      </c>
      <c r="AC12">
        <v>38</v>
      </c>
      <c r="AD12">
        <v>38</v>
      </c>
      <c r="AE12">
        <v>39</v>
      </c>
      <c r="AF12">
        <v>40</v>
      </c>
      <c r="AG12">
        <v>40</v>
      </c>
      <c r="AH12">
        <v>41</v>
      </c>
      <c r="AI12">
        <v>41</v>
      </c>
      <c r="AJ12">
        <v>42</v>
      </c>
    </row>
    <row r="13" spans="1:41" x14ac:dyDescent="0.25">
      <c r="A13" s="24"/>
      <c r="B13">
        <v>99</v>
      </c>
      <c r="C13">
        <v>21</v>
      </c>
      <c r="D13">
        <v>22</v>
      </c>
      <c r="E13">
        <v>22</v>
      </c>
      <c r="F13">
        <v>23</v>
      </c>
      <c r="G13">
        <v>24</v>
      </c>
      <c r="H13">
        <v>24</v>
      </c>
      <c r="I13">
        <v>25</v>
      </c>
      <c r="J13">
        <v>26</v>
      </c>
      <c r="K13">
        <v>26</v>
      </c>
      <c r="L13">
        <v>27</v>
      </c>
      <c r="M13">
        <v>27</v>
      </c>
      <c r="N13">
        <v>28</v>
      </c>
      <c r="O13">
        <v>29</v>
      </c>
      <c r="P13">
        <v>29</v>
      </c>
      <c r="Q13">
        <v>30</v>
      </c>
      <c r="R13">
        <v>31</v>
      </c>
      <c r="S13">
        <v>31</v>
      </c>
      <c r="T13">
        <v>32</v>
      </c>
      <c r="U13">
        <v>33</v>
      </c>
      <c r="V13">
        <v>33</v>
      </c>
      <c r="W13">
        <v>34</v>
      </c>
      <c r="X13">
        <v>34</v>
      </c>
      <c r="Y13">
        <v>35</v>
      </c>
      <c r="Z13">
        <v>36</v>
      </c>
      <c r="AA13">
        <v>36</v>
      </c>
      <c r="AB13">
        <v>37</v>
      </c>
      <c r="AC13">
        <v>38</v>
      </c>
      <c r="AD13">
        <v>38</v>
      </c>
      <c r="AE13">
        <v>39</v>
      </c>
      <c r="AF13">
        <v>40</v>
      </c>
      <c r="AG13">
        <v>40</v>
      </c>
      <c r="AH13">
        <v>41</v>
      </c>
      <c r="AI13">
        <v>41</v>
      </c>
      <c r="AJ13">
        <v>42</v>
      </c>
    </row>
    <row r="14" spans="1:41" x14ac:dyDescent="0.25">
      <c r="A14" s="24"/>
      <c r="B14">
        <v>100</v>
      </c>
      <c r="C14">
        <v>21</v>
      </c>
      <c r="D14">
        <v>22</v>
      </c>
      <c r="E14">
        <v>22</v>
      </c>
      <c r="F14">
        <v>23</v>
      </c>
      <c r="G14">
        <v>24</v>
      </c>
      <c r="H14">
        <v>24</v>
      </c>
      <c r="I14">
        <v>25</v>
      </c>
      <c r="J14">
        <v>26</v>
      </c>
      <c r="K14">
        <v>26</v>
      </c>
      <c r="L14">
        <v>27</v>
      </c>
      <c r="M14">
        <v>27</v>
      </c>
      <c r="N14">
        <v>28</v>
      </c>
      <c r="O14">
        <v>29</v>
      </c>
      <c r="P14">
        <v>29</v>
      </c>
      <c r="Q14">
        <v>30</v>
      </c>
      <c r="R14">
        <v>31</v>
      </c>
      <c r="S14">
        <v>31</v>
      </c>
      <c r="T14">
        <v>32</v>
      </c>
      <c r="U14">
        <v>33</v>
      </c>
      <c r="V14">
        <v>33</v>
      </c>
      <c r="W14">
        <v>34</v>
      </c>
      <c r="X14">
        <v>34</v>
      </c>
      <c r="Y14">
        <v>35</v>
      </c>
      <c r="Z14">
        <v>36</v>
      </c>
      <c r="AA14">
        <v>36</v>
      </c>
      <c r="AB14">
        <v>37</v>
      </c>
      <c r="AC14">
        <v>38</v>
      </c>
      <c r="AD14">
        <v>38</v>
      </c>
      <c r="AE14">
        <v>39</v>
      </c>
      <c r="AF14">
        <v>40</v>
      </c>
      <c r="AG14">
        <v>40</v>
      </c>
      <c r="AH14">
        <v>41</v>
      </c>
      <c r="AI14">
        <v>41</v>
      </c>
      <c r="AJ14">
        <v>42</v>
      </c>
    </row>
    <row r="15" spans="1:41" x14ac:dyDescent="0.25">
      <c r="A15" s="24"/>
      <c r="B15">
        <v>101</v>
      </c>
      <c r="C15">
        <v>21</v>
      </c>
      <c r="D15">
        <v>22</v>
      </c>
      <c r="E15">
        <v>22</v>
      </c>
      <c r="F15">
        <v>23</v>
      </c>
      <c r="G15">
        <v>24</v>
      </c>
      <c r="H15">
        <v>24</v>
      </c>
      <c r="I15">
        <v>25</v>
      </c>
      <c r="J15">
        <v>26</v>
      </c>
      <c r="K15">
        <v>26</v>
      </c>
      <c r="L15">
        <v>27</v>
      </c>
      <c r="M15">
        <v>27</v>
      </c>
      <c r="N15">
        <v>28</v>
      </c>
      <c r="O15">
        <v>29</v>
      </c>
      <c r="P15">
        <v>29</v>
      </c>
      <c r="Q15">
        <v>30</v>
      </c>
      <c r="R15">
        <v>31</v>
      </c>
      <c r="S15">
        <v>31</v>
      </c>
      <c r="T15">
        <v>32</v>
      </c>
      <c r="U15">
        <v>33</v>
      </c>
      <c r="V15">
        <v>33</v>
      </c>
      <c r="W15">
        <v>34</v>
      </c>
      <c r="X15">
        <v>34</v>
      </c>
      <c r="Y15">
        <v>35</v>
      </c>
      <c r="Z15">
        <v>36</v>
      </c>
      <c r="AA15">
        <v>36</v>
      </c>
      <c r="AB15">
        <v>37</v>
      </c>
      <c r="AC15">
        <v>38</v>
      </c>
      <c r="AD15">
        <v>38</v>
      </c>
      <c r="AE15">
        <v>39</v>
      </c>
      <c r="AF15">
        <v>40</v>
      </c>
      <c r="AG15">
        <v>40</v>
      </c>
      <c r="AH15">
        <v>41</v>
      </c>
      <c r="AI15">
        <v>41</v>
      </c>
      <c r="AJ15">
        <v>42</v>
      </c>
    </row>
    <row r="16" spans="1:41" x14ac:dyDescent="0.25">
      <c r="A16" s="24"/>
      <c r="B16">
        <v>102</v>
      </c>
      <c r="C16">
        <v>21</v>
      </c>
      <c r="D16">
        <v>22</v>
      </c>
      <c r="E16">
        <v>22</v>
      </c>
      <c r="F16">
        <v>23</v>
      </c>
      <c r="G16">
        <v>24</v>
      </c>
      <c r="H16">
        <v>24</v>
      </c>
      <c r="I16">
        <v>25</v>
      </c>
      <c r="J16">
        <v>26</v>
      </c>
      <c r="K16">
        <v>26</v>
      </c>
      <c r="L16">
        <v>27</v>
      </c>
      <c r="M16">
        <v>27</v>
      </c>
      <c r="N16">
        <v>28</v>
      </c>
      <c r="O16">
        <v>29</v>
      </c>
      <c r="P16">
        <v>29</v>
      </c>
      <c r="Q16">
        <v>30</v>
      </c>
      <c r="R16">
        <v>31</v>
      </c>
      <c r="S16">
        <v>31</v>
      </c>
      <c r="T16">
        <v>32</v>
      </c>
      <c r="U16">
        <v>32</v>
      </c>
      <c r="V16">
        <v>33</v>
      </c>
      <c r="W16">
        <v>34</v>
      </c>
      <c r="X16">
        <v>34</v>
      </c>
      <c r="Y16">
        <v>35</v>
      </c>
      <c r="Z16">
        <v>36</v>
      </c>
      <c r="AA16">
        <v>36</v>
      </c>
      <c r="AB16">
        <v>37</v>
      </c>
      <c r="AC16">
        <v>38</v>
      </c>
      <c r="AD16">
        <v>38</v>
      </c>
      <c r="AE16">
        <v>39</v>
      </c>
      <c r="AF16">
        <v>39</v>
      </c>
      <c r="AG16">
        <v>40</v>
      </c>
      <c r="AH16">
        <v>41</v>
      </c>
      <c r="AI16">
        <v>41</v>
      </c>
      <c r="AJ16">
        <v>42</v>
      </c>
    </row>
    <row r="17" spans="1:36" x14ac:dyDescent="0.25">
      <c r="A17" s="24"/>
      <c r="B17">
        <v>103</v>
      </c>
      <c r="C17">
        <v>21</v>
      </c>
      <c r="D17">
        <v>22</v>
      </c>
      <c r="E17">
        <v>22</v>
      </c>
      <c r="F17">
        <v>23</v>
      </c>
      <c r="G17">
        <v>24</v>
      </c>
      <c r="H17">
        <v>24</v>
      </c>
      <c r="I17">
        <v>25</v>
      </c>
      <c r="J17">
        <v>26</v>
      </c>
      <c r="K17">
        <v>26</v>
      </c>
      <c r="L17">
        <v>27</v>
      </c>
      <c r="M17">
        <v>27</v>
      </c>
      <c r="N17">
        <v>28</v>
      </c>
      <c r="O17">
        <v>29</v>
      </c>
      <c r="P17">
        <v>29</v>
      </c>
      <c r="Q17">
        <v>30</v>
      </c>
      <c r="R17">
        <v>31</v>
      </c>
      <c r="S17">
        <v>31</v>
      </c>
      <c r="T17">
        <v>32</v>
      </c>
      <c r="U17">
        <v>32</v>
      </c>
      <c r="V17">
        <v>33</v>
      </c>
      <c r="W17">
        <v>34</v>
      </c>
      <c r="X17">
        <v>34</v>
      </c>
      <c r="Y17">
        <v>34</v>
      </c>
      <c r="Z17">
        <v>35</v>
      </c>
      <c r="AA17">
        <v>36</v>
      </c>
      <c r="AB17">
        <v>36</v>
      </c>
      <c r="AC17">
        <v>37</v>
      </c>
      <c r="AD17">
        <v>38</v>
      </c>
      <c r="AE17">
        <v>39</v>
      </c>
      <c r="AF17">
        <v>39</v>
      </c>
      <c r="AG17">
        <v>40</v>
      </c>
      <c r="AH17">
        <v>41</v>
      </c>
      <c r="AI17">
        <v>41</v>
      </c>
      <c r="AJ17">
        <v>42</v>
      </c>
    </row>
    <row r="18" spans="1:36" x14ac:dyDescent="0.25">
      <c r="A18" s="24"/>
      <c r="B18">
        <v>104</v>
      </c>
      <c r="C18">
        <v>21</v>
      </c>
      <c r="D18">
        <v>22</v>
      </c>
      <c r="E18">
        <v>22</v>
      </c>
      <c r="F18">
        <v>23</v>
      </c>
      <c r="G18">
        <v>24</v>
      </c>
      <c r="H18">
        <v>24</v>
      </c>
      <c r="I18">
        <v>25</v>
      </c>
      <c r="J18">
        <v>25</v>
      </c>
      <c r="K18">
        <v>26</v>
      </c>
      <c r="L18">
        <v>27</v>
      </c>
      <c r="M18">
        <v>27</v>
      </c>
      <c r="N18">
        <v>28</v>
      </c>
      <c r="O18">
        <v>29</v>
      </c>
      <c r="P18">
        <v>29</v>
      </c>
      <c r="Q18">
        <v>30</v>
      </c>
      <c r="R18">
        <v>31</v>
      </c>
      <c r="S18">
        <v>31</v>
      </c>
      <c r="T18">
        <v>32</v>
      </c>
      <c r="U18">
        <v>32</v>
      </c>
      <c r="V18">
        <v>33</v>
      </c>
      <c r="W18">
        <v>34</v>
      </c>
      <c r="X18">
        <v>34</v>
      </c>
      <c r="Y18">
        <v>35</v>
      </c>
      <c r="Z18">
        <v>36</v>
      </c>
      <c r="AA18">
        <v>36</v>
      </c>
      <c r="AB18">
        <v>37</v>
      </c>
      <c r="AC18">
        <v>38</v>
      </c>
      <c r="AD18">
        <v>38</v>
      </c>
      <c r="AE18">
        <v>39</v>
      </c>
      <c r="AF18">
        <v>39</v>
      </c>
      <c r="AG18">
        <v>40</v>
      </c>
      <c r="AH18">
        <v>41</v>
      </c>
      <c r="AI18">
        <v>41</v>
      </c>
      <c r="AJ18">
        <v>42</v>
      </c>
    </row>
    <row r="19" spans="1:36" x14ac:dyDescent="0.25">
      <c r="A19" s="24"/>
      <c r="B19">
        <v>105</v>
      </c>
      <c r="C19">
        <v>21</v>
      </c>
      <c r="D19">
        <v>22</v>
      </c>
      <c r="E19">
        <v>22</v>
      </c>
      <c r="F19">
        <v>23</v>
      </c>
      <c r="G19">
        <v>24</v>
      </c>
      <c r="H19">
        <v>24</v>
      </c>
      <c r="I19">
        <v>25</v>
      </c>
      <c r="J19">
        <v>25</v>
      </c>
      <c r="K19">
        <v>26</v>
      </c>
      <c r="L19">
        <v>27</v>
      </c>
      <c r="M19">
        <v>27</v>
      </c>
      <c r="N19">
        <v>28</v>
      </c>
      <c r="O19">
        <v>29</v>
      </c>
      <c r="P19">
        <v>29</v>
      </c>
      <c r="Q19">
        <v>30</v>
      </c>
      <c r="R19">
        <v>31</v>
      </c>
      <c r="S19">
        <v>31</v>
      </c>
      <c r="T19">
        <v>32</v>
      </c>
      <c r="U19">
        <v>32</v>
      </c>
      <c r="V19">
        <v>33</v>
      </c>
      <c r="W19">
        <v>34</v>
      </c>
      <c r="X19">
        <v>34</v>
      </c>
      <c r="Y19">
        <v>35</v>
      </c>
      <c r="Z19">
        <v>36</v>
      </c>
      <c r="AA19">
        <v>36</v>
      </c>
      <c r="AB19">
        <v>37</v>
      </c>
      <c r="AC19">
        <v>38</v>
      </c>
      <c r="AD19">
        <v>38</v>
      </c>
      <c r="AE19">
        <v>39</v>
      </c>
      <c r="AF19">
        <v>39</v>
      </c>
      <c r="AG19">
        <v>40</v>
      </c>
      <c r="AH19">
        <v>41</v>
      </c>
      <c r="AI19">
        <v>41</v>
      </c>
      <c r="AJ19">
        <v>42</v>
      </c>
    </row>
    <row r="20" spans="1:36" x14ac:dyDescent="0.25">
      <c r="A20" s="24"/>
      <c r="B20">
        <v>106</v>
      </c>
      <c r="C20">
        <v>21</v>
      </c>
      <c r="D20">
        <v>22</v>
      </c>
      <c r="E20">
        <v>22</v>
      </c>
      <c r="F20">
        <v>23</v>
      </c>
      <c r="G20">
        <v>24</v>
      </c>
      <c r="H20">
        <v>24</v>
      </c>
      <c r="I20">
        <v>25</v>
      </c>
      <c r="J20">
        <v>25</v>
      </c>
      <c r="K20">
        <v>26</v>
      </c>
      <c r="L20">
        <v>27</v>
      </c>
      <c r="M20">
        <v>27</v>
      </c>
      <c r="N20">
        <v>28</v>
      </c>
      <c r="O20">
        <v>29</v>
      </c>
      <c r="P20">
        <v>29</v>
      </c>
      <c r="Q20">
        <v>30</v>
      </c>
      <c r="R20">
        <v>31</v>
      </c>
      <c r="S20">
        <v>31</v>
      </c>
      <c r="T20">
        <v>32</v>
      </c>
      <c r="U20">
        <v>32</v>
      </c>
      <c r="V20">
        <v>33</v>
      </c>
      <c r="W20">
        <v>34</v>
      </c>
      <c r="X20">
        <v>34</v>
      </c>
      <c r="Y20">
        <v>35</v>
      </c>
      <c r="Z20">
        <v>36</v>
      </c>
      <c r="AA20">
        <v>36</v>
      </c>
      <c r="AB20">
        <v>37</v>
      </c>
      <c r="AC20">
        <v>38</v>
      </c>
      <c r="AD20">
        <v>38</v>
      </c>
      <c r="AE20">
        <v>39</v>
      </c>
      <c r="AF20">
        <v>39</v>
      </c>
      <c r="AG20">
        <v>40</v>
      </c>
      <c r="AH20">
        <v>41</v>
      </c>
      <c r="AI20">
        <v>41</v>
      </c>
      <c r="AJ20">
        <v>42</v>
      </c>
    </row>
    <row r="21" spans="1:36" x14ac:dyDescent="0.25">
      <c r="A21" s="24"/>
      <c r="B21">
        <v>107</v>
      </c>
      <c r="C21">
        <v>21</v>
      </c>
      <c r="D21">
        <v>22</v>
      </c>
      <c r="E21">
        <v>22</v>
      </c>
      <c r="F21">
        <v>23</v>
      </c>
      <c r="G21">
        <v>24</v>
      </c>
      <c r="H21">
        <v>24</v>
      </c>
      <c r="I21">
        <v>25</v>
      </c>
      <c r="J21">
        <v>25</v>
      </c>
      <c r="K21">
        <v>26</v>
      </c>
      <c r="L21">
        <v>27</v>
      </c>
      <c r="M21">
        <v>27</v>
      </c>
      <c r="N21">
        <v>28</v>
      </c>
      <c r="O21">
        <v>29</v>
      </c>
      <c r="P21">
        <v>29</v>
      </c>
      <c r="Q21">
        <v>30</v>
      </c>
      <c r="R21">
        <v>31</v>
      </c>
      <c r="S21">
        <v>31</v>
      </c>
      <c r="T21">
        <v>32</v>
      </c>
      <c r="U21">
        <v>32</v>
      </c>
      <c r="V21">
        <v>33</v>
      </c>
      <c r="W21">
        <v>34</v>
      </c>
      <c r="X21">
        <v>34</v>
      </c>
      <c r="Y21">
        <v>35</v>
      </c>
      <c r="Z21">
        <v>36</v>
      </c>
      <c r="AA21">
        <v>36</v>
      </c>
      <c r="AB21">
        <v>37</v>
      </c>
      <c r="AC21">
        <v>38</v>
      </c>
      <c r="AD21">
        <v>38</v>
      </c>
      <c r="AE21">
        <v>39</v>
      </c>
      <c r="AF21">
        <v>39</v>
      </c>
      <c r="AG21">
        <v>40</v>
      </c>
      <c r="AH21">
        <v>41</v>
      </c>
      <c r="AI21">
        <v>41</v>
      </c>
      <c r="AJ21">
        <v>42</v>
      </c>
    </row>
    <row r="22" spans="1:36" x14ac:dyDescent="0.25">
      <c r="A22" s="24"/>
      <c r="B22">
        <v>108</v>
      </c>
      <c r="C22">
        <v>21</v>
      </c>
      <c r="D22">
        <v>22</v>
      </c>
      <c r="E22">
        <v>22</v>
      </c>
      <c r="F22">
        <v>23</v>
      </c>
      <c r="G22">
        <v>24</v>
      </c>
      <c r="H22">
        <v>24</v>
      </c>
      <c r="I22">
        <v>25</v>
      </c>
      <c r="J22">
        <v>25</v>
      </c>
      <c r="K22">
        <v>26</v>
      </c>
      <c r="L22">
        <v>27</v>
      </c>
      <c r="M22">
        <v>27</v>
      </c>
      <c r="N22">
        <v>28</v>
      </c>
      <c r="O22">
        <v>29</v>
      </c>
      <c r="P22">
        <v>29</v>
      </c>
      <c r="Q22">
        <v>30</v>
      </c>
      <c r="R22">
        <v>31</v>
      </c>
      <c r="S22">
        <v>31</v>
      </c>
      <c r="T22">
        <v>32</v>
      </c>
      <c r="U22">
        <v>32</v>
      </c>
      <c r="V22">
        <v>33</v>
      </c>
      <c r="W22">
        <v>34</v>
      </c>
      <c r="X22">
        <v>34</v>
      </c>
      <c r="Y22">
        <v>35</v>
      </c>
      <c r="Z22">
        <v>36</v>
      </c>
      <c r="AA22">
        <v>36</v>
      </c>
      <c r="AB22">
        <v>37</v>
      </c>
      <c r="AC22">
        <v>37</v>
      </c>
      <c r="AD22">
        <v>38</v>
      </c>
      <c r="AE22">
        <v>39</v>
      </c>
      <c r="AF22">
        <v>39</v>
      </c>
      <c r="AG22">
        <v>40</v>
      </c>
      <c r="AH22">
        <v>41</v>
      </c>
      <c r="AI22">
        <v>41</v>
      </c>
      <c r="AJ22">
        <v>42</v>
      </c>
    </row>
    <row r="23" spans="1:36" x14ac:dyDescent="0.25">
      <c r="A23" s="24"/>
      <c r="B23">
        <v>109</v>
      </c>
      <c r="C23">
        <v>21</v>
      </c>
      <c r="D23">
        <v>22</v>
      </c>
      <c r="E23">
        <v>22</v>
      </c>
      <c r="F23">
        <v>23</v>
      </c>
      <c r="G23">
        <v>24</v>
      </c>
      <c r="H23">
        <v>24</v>
      </c>
      <c r="I23">
        <v>25</v>
      </c>
      <c r="J23">
        <v>25</v>
      </c>
      <c r="K23">
        <v>26</v>
      </c>
      <c r="L23">
        <v>27</v>
      </c>
      <c r="M23">
        <v>27</v>
      </c>
      <c r="N23">
        <v>28</v>
      </c>
      <c r="O23">
        <v>29</v>
      </c>
      <c r="P23">
        <v>29</v>
      </c>
      <c r="Q23">
        <v>30</v>
      </c>
      <c r="R23">
        <v>30</v>
      </c>
      <c r="S23">
        <v>31</v>
      </c>
      <c r="T23">
        <v>32</v>
      </c>
      <c r="U23">
        <v>32</v>
      </c>
      <c r="V23">
        <v>33</v>
      </c>
      <c r="W23">
        <v>34</v>
      </c>
      <c r="X23">
        <v>34</v>
      </c>
      <c r="Y23">
        <v>35</v>
      </c>
      <c r="Z23">
        <v>36</v>
      </c>
      <c r="AA23">
        <v>36</v>
      </c>
      <c r="AB23">
        <v>37</v>
      </c>
      <c r="AC23">
        <v>37</v>
      </c>
      <c r="AD23">
        <v>38</v>
      </c>
      <c r="AE23">
        <v>39</v>
      </c>
      <c r="AF23">
        <v>39</v>
      </c>
      <c r="AG23">
        <v>40</v>
      </c>
      <c r="AH23">
        <v>41</v>
      </c>
      <c r="AI23">
        <v>41</v>
      </c>
      <c r="AJ23">
        <v>42</v>
      </c>
    </row>
    <row r="24" spans="1:36" x14ac:dyDescent="0.25">
      <c r="A24" s="24"/>
      <c r="B24">
        <v>110</v>
      </c>
      <c r="C24">
        <v>21</v>
      </c>
      <c r="D24">
        <v>22</v>
      </c>
      <c r="E24">
        <v>22</v>
      </c>
      <c r="F24">
        <v>23</v>
      </c>
      <c r="G24">
        <v>23</v>
      </c>
      <c r="H24">
        <v>24</v>
      </c>
      <c r="I24">
        <v>25</v>
      </c>
      <c r="J24">
        <v>25</v>
      </c>
      <c r="K24">
        <v>26</v>
      </c>
      <c r="L24">
        <v>27</v>
      </c>
      <c r="M24">
        <v>27</v>
      </c>
      <c r="N24">
        <v>28</v>
      </c>
      <c r="O24">
        <v>29</v>
      </c>
      <c r="P24">
        <v>29</v>
      </c>
      <c r="Q24">
        <v>30</v>
      </c>
      <c r="R24">
        <v>30</v>
      </c>
      <c r="S24">
        <v>31</v>
      </c>
      <c r="T24">
        <v>32</v>
      </c>
      <c r="U24">
        <v>32</v>
      </c>
      <c r="V24">
        <v>33</v>
      </c>
      <c r="W24">
        <v>34</v>
      </c>
      <c r="X24">
        <v>34</v>
      </c>
      <c r="Y24">
        <v>35</v>
      </c>
      <c r="Z24">
        <v>36</v>
      </c>
      <c r="AA24">
        <v>36</v>
      </c>
      <c r="AB24">
        <v>37</v>
      </c>
      <c r="AC24">
        <v>37</v>
      </c>
      <c r="AD24">
        <v>38</v>
      </c>
      <c r="AE24">
        <v>39</v>
      </c>
      <c r="AF24">
        <v>39</v>
      </c>
      <c r="AG24">
        <v>40</v>
      </c>
      <c r="AH24">
        <v>41</v>
      </c>
      <c r="AI24">
        <v>41</v>
      </c>
      <c r="AJ24">
        <v>42</v>
      </c>
    </row>
    <row r="25" spans="1:36" x14ac:dyDescent="0.25">
      <c r="A25" s="24"/>
      <c r="B25">
        <v>111</v>
      </c>
      <c r="C25">
        <v>21</v>
      </c>
      <c r="D25">
        <v>22</v>
      </c>
      <c r="E25">
        <v>22</v>
      </c>
      <c r="F25">
        <v>23</v>
      </c>
      <c r="G25">
        <v>23</v>
      </c>
      <c r="H25">
        <v>24</v>
      </c>
      <c r="I25">
        <v>25</v>
      </c>
      <c r="J25">
        <v>25</v>
      </c>
      <c r="K25">
        <v>26</v>
      </c>
      <c r="L25">
        <v>27</v>
      </c>
      <c r="M25">
        <v>27</v>
      </c>
      <c r="N25">
        <v>28</v>
      </c>
      <c r="O25">
        <v>29</v>
      </c>
      <c r="P25">
        <v>29</v>
      </c>
      <c r="Q25">
        <v>30</v>
      </c>
      <c r="R25">
        <v>30</v>
      </c>
      <c r="S25">
        <v>31</v>
      </c>
      <c r="T25">
        <v>32</v>
      </c>
      <c r="U25">
        <v>32</v>
      </c>
      <c r="V25">
        <v>33</v>
      </c>
      <c r="W25">
        <v>34</v>
      </c>
      <c r="X25">
        <v>34</v>
      </c>
      <c r="Y25">
        <v>35</v>
      </c>
      <c r="Z25">
        <v>36</v>
      </c>
      <c r="AA25">
        <v>36</v>
      </c>
      <c r="AB25">
        <v>37</v>
      </c>
      <c r="AC25">
        <v>37</v>
      </c>
      <c r="AD25">
        <v>38</v>
      </c>
      <c r="AE25">
        <v>39</v>
      </c>
      <c r="AF25">
        <v>39</v>
      </c>
      <c r="AG25">
        <v>40</v>
      </c>
      <c r="AH25">
        <v>41</v>
      </c>
      <c r="AI25">
        <v>41</v>
      </c>
      <c r="AJ25">
        <v>42</v>
      </c>
    </row>
    <row r="26" spans="1:36" x14ac:dyDescent="0.25">
      <c r="A26" s="24"/>
      <c r="B26">
        <v>112</v>
      </c>
      <c r="C26">
        <v>21</v>
      </c>
      <c r="D26">
        <v>22</v>
      </c>
      <c r="E26">
        <v>22</v>
      </c>
      <c r="F26">
        <v>23</v>
      </c>
      <c r="G26">
        <v>23</v>
      </c>
      <c r="H26">
        <v>24</v>
      </c>
      <c r="I26">
        <v>25</v>
      </c>
      <c r="J26">
        <v>25</v>
      </c>
      <c r="K26">
        <v>26</v>
      </c>
      <c r="L26">
        <v>27</v>
      </c>
      <c r="M26">
        <v>27</v>
      </c>
      <c r="N26">
        <v>28</v>
      </c>
      <c r="O26">
        <v>29</v>
      </c>
      <c r="P26">
        <v>29</v>
      </c>
      <c r="Q26">
        <v>30</v>
      </c>
      <c r="R26">
        <v>30</v>
      </c>
      <c r="S26">
        <v>31</v>
      </c>
      <c r="T26">
        <v>32</v>
      </c>
      <c r="U26">
        <v>32</v>
      </c>
      <c r="V26">
        <v>33</v>
      </c>
      <c r="W26">
        <v>34</v>
      </c>
      <c r="X26">
        <v>34</v>
      </c>
      <c r="Y26">
        <v>35</v>
      </c>
      <c r="Z26">
        <v>36</v>
      </c>
      <c r="AA26">
        <v>36</v>
      </c>
      <c r="AB26">
        <v>37</v>
      </c>
      <c r="AC26">
        <v>37</v>
      </c>
      <c r="AD26">
        <v>38</v>
      </c>
      <c r="AE26">
        <v>39</v>
      </c>
      <c r="AF26">
        <v>39</v>
      </c>
      <c r="AG26">
        <v>40</v>
      </c>
      <c r="AH26">
        <v>41</v>
      </c>
      <c r="AI26">
        <v>41</v>
      </c>
      <c r="AJ26">
        <v>42</v>
      </c>
    </row>
    <row r="27" spans="1:36" x14ac:dyDescent="0.25">
      <c r="A27" s="24"/>
      <c r="B27">
        <v>113</v>
      </c>
      <c r="C27">
        <v>21</v>
      </c>
      <c r="D27">
        <v>22</v>
      </c>
      <c r="E27">
        <v>22</v>
      </c>
      <c r="F27">
        <v>23</v>
      </c>
      <c r="G27">
        <v>23</v>
      </c>
      <c r="H27">
        <v>24</v>
      </c>
      <c r="I27">
        <v>25</v>
      </c>
      <c r="J27">
        <v>25</v>
      </c>
      <c r="K27">
        <v>26</v>
      </c>
      <c r="L27">
        <v>27</v>
      </c>
      <c r="M27">
        <v>27</v>
      </c>
      <c r="N27">
        <v>28</v>
      </c>
      <c r="O27">
        <v>29</v>
      </c>
      <c r="P27">
        <v>29</v>
      </c>
      <c r="Q27">
        <v>30</v>
      </c>
      <c r="R27">
        <v>30</v>
      </c>
      <c r="S27">
        <v>31</v>
      </c>
      <c r="T27">
        <v>32</v>
      </c>
      <c r="U27">
        <v>32</v>
      </c>
      <c r="V27">
        <v>33</v>
      </c>
      <c r="W27">
        <v>34</v>
      </c>
      <c r="X27">
        <v>34</v>
      </c>
      <c r="Y27">
        <v>35</v>
      </c>
      <c r="Z27">
        <v>36</v>
      </c>
      <c r="AA27">
        <v>36</v>
      </c>
      <c r="AB27">
        <v>37</v>
      </c>
      <c r="AC27">
        <v>37</v>
      </c>
      <c r="AD27">
        <v>38</v>
      </c>
      <c r="AE27">
        <v>39</v>
      </c>
      <c r="AF27">
        <v>39</v>
      </c>
      <c r="AG27">
        <v>40</v>
      </c>
      <c r="AH27">
        <v>41</v>
      </c>
      <c r="AI27">
        <v>41</v>
      </c>
      <c r="AJ27">
        <v>42</v>
      </c>
    </row>
    <row r="28" spans="1:36" x14ac:dyDescent="0.25">
      <c r="A28" s="24"/>
      <c r="B28">
        <v>114</v>
      </c>
      <c r="C28">
        <v>21</v>
      </c>
      <c r="D28">
        <v>22</v>
      </c>
      <c r="E28">
        <v>22</v>
      </c>
      <c r="F28">
        <v>23</v>
      </c>
      <c r="G28">
        <v>23</v>
      </c>
      <c r="H28">
        <v>24</v>
      </c>
      <c r="I28">
        <v>25</v>
      </c>
      <c r="J28">
        <v>25</v>
      </c>
      <c r="K28">
        <v>26</v>
      </c>
      <c r="L28">
        <v>27</v>
      </c>
      <c r="M28">
        <v>27</v>
      </c>
      <c r="N28">
        <v>28</v>
      </c>
      <c r="O28">
        <v>29</v>
      </c>
      <c r="P28">
        <v>29</v>
      </c>
      <c r="Q28">
        <v>30</v>
      </c>
      <c r="R28">
        <v>30</v>
      </c>
      <c r="S28">
        <v>31</v>
      </c>
      <c r="T28">
        <v>32</v>
      </c>
      <c r="U28">
        <v>32</v>
      </c>
      <c r="V28">
        <v>33</v>
      </c>
      <c r="W28">
        <v>34</v>
      </c>
      <c r="X28">
        <v>34</v>
      </c>
      <c r="Y28">
        <v>35</v>
      </c>
      <c r="Z28">
        <v>35</v>
      </c>
      <c r="AA28">
        <v>36</v>
      </c>
      <c r="AB28">
        <v>37</v>
      </c>
      <c r="AC28">
        <v>37</v>
      </c>
      <c r="AD28">
        <v>38</v>
      </c>
      <c r="AE28">
        <v>39</v>
      </c>
      <c r="AF28">
        <v>39</v>
      </c>
      <c r="AG28">
        <v>40</v>
      </c>
      <c r="AH28">
        <v>41</v>
      </c>
      <c r="AI28">
        <v>41</v>
      </c>
      <c r="AJ28">
        <v>42</v>
      </c>
    </row>
    <row r="29" spans="1:36" x14ac:dyDescent="0.25">
      <c r="A29" s="24"/>
      <c r="B29">
        <v>115</v>
      </c>
      <c r="C29">
        <v>21</v>
      </c>
      <c r="D29">
        <v>22</v>
      </c>
      <c r="E29">
        <v>22</v>
      </c>
      <c r="F29">
        <v>23</v>
      </c>
      <c r="G29">
        <v>23</v>
      </c>
      <c r="H29">
        <v>24</v>
      </c>
      <c r="I29">
        <v>25</v>
      </c>
      <c r="J29">
        <v>25</v>
      </c>
      <c r="K29">
        <v>26</v>
      </c>
      <c r="L29">
        <v>27</v>
      </c>
      <c r="M29">
        <v>27</v>
      </c>
      <c r="N29">
        <v>28</v>
      </c>
      <c r="O29">
        <v>28</v>
      </c>
      <c r="P29">
        <v>29</v>
      </c>
      <c r="Q29">
        <v>30</v>
      </c>
      <c r="R29">
        <v>30</v>
      </c>
      <c r="S29">
        <v>31</v>
      </c>
      <c r="T29">
        <v>32</v>
      </c>
      <c r="U29">
        <v>32</v>
      </c>
      <c r="V29">
        <v>33</v>
      </c>
      <c r="W29">
        <v>34</v>
      </c>
      <c r="X29">
        <v>34</v>
      </c>
      <c r="Y29">
        <v>35</v>
      </c>
      <c r="Z29">
        <v>35</v>
      </c>
      <c r="AA29">
        <v>36</v>
      </c>
      <c r="AB29">
        <v>37</v>
      </c>
      <c r="AC29">
        <v>37</v>
      </c>
      <c r="AD29">
        <v>38</v>
      </c>
      <c r="AE29">
        <v>39</v>
      </c>
      <c r="AF29">
        <v>39</v>
      </c>
      <c r="AG29">
        <v>40</v>
      </c>
      <c r="AH29">
        <v>41</v>
      </c>
      <c r="AI29">
        <v>41</v>
      </c>
      <c r="AJ29">
        <v>42</v>
      </c>
    </row>
    <row r="30" spans="1:36" x14ac:dyDescent="0.25">
      <c r="A30" s="24"/>
      <c r="B30">
        <v>116</v>
      </c>
      <c r="C30">
        <v>21</v>
      </c>
      <c r="D30">
        <v>21</v>
      </c>
      <c r="E30">
        <v>22</v>
      </c>
      <c r="F30">
        <v>23</v>
      </c>
      <c r="G30">
        <v>23</v>
      </c>
      <c r="H30">
        <v>24</v>
      </c>
      <c r="I30">
        <v>25</v>
      </c>
      <c r="J30">
        <v>25</v>
      </c>
      <c r="K30">
        <v>26</v>
      </c>
      <c r="L30">
        <v>27</v>
      </c>
      <c r="M30">
        <v>27</v>
      </c>
      <c r="N30">
        <v>28</v>
      </c>
      <c r="O30">
        <v>28</v>
      </c>
      <c r="P30">
        <v>29</v>
      </c>
      <c r="Q30">
        <v>30</v>
      </c>
      <c r="R30">
        <v>30</v>
      </c>
      <c r="S30">
        <v>31</v>
      </c>
      <c r="T30">
        <v>32</v>
      </c>
      <c r="U30">
        <v>32</v>
      </c>
      <c r="V30">
        <v>33</v>
      </c>
      <c r="W30">
        <v>34</v>
      </c>
      <c r="X30">
        <v>34</v>
      </c>
      <c r="Y30">
        <v>35</v>
      </c>
      <c r="Z30">
        <v>35</v>
      </c>
      <c r="AA30">
        <v>36</v>
      </c>
      <c r="AB30">
        <v>37</v>
      </c>
      <c r="AC30">
        <v>37</v>
      </c>
      <c r="AD30">
        <v>38</v>
      </c>
      <c r="AE30">
        <v>39</v>
      </c>
      <c r="AF30">
        <v>39</v>
      </c>
      <c r="AG30">
        <v>40</v>
      </c>
      <c r="AH30">
        <v>41</v>
      </c>
      <c r="AI30">
        <v>41</v>
      </c>
      <c r="AJ30">
        <v>42</v>
      </c>
    </row>
    <row r="31" spans="1:36" x14ac:dyDescent="0.25">
      <c r="A31" s="24"/>
      <c r="B31">
        <v>117</v>
      </c>
      <c r="C31">
        <v>21</v>
      </c>
      <c r="D31">
        <v>21</v>
      </c>
      <c r="E31">
        <v>22</v>
      </c>
      <c r="F31">
        <v>23</v>
      </c>
      <c r="G31">
        <v>23</v>
      </c>
      <c r="H31">
        <v>24</v>
      </c>
      <c r="I31">
        <v>25</v>
      </c>
      <c r="J31">
        <v>25</v>
      </c>
      <c r="K31">
        <v>26</v>
      </c>
      <c r="L31">
        <v>27</v>
      </c>
      <c r="M31">
        <v>27</v>
      </c>
      <c r="N31">
        <v>28</v>
      </c>
      <c r="O31">
        <v>28</v>
      </c>
      <c r="P31">
        <v>29</v>
      </c>
      <c r="Q31">
        <v>30</v>
      </c>
      <c r="R31">
        <v>30</v>
      </c>
      <c r="S31">
        <v>31</v>
      </c>
      <c r="T31">
        <v>32</v>
      </c>
      <c r="U31">
        <v>32</v>
      </c>
      <c r="V31">
        <v>33</v>
      </c>
      <c r="W31">
        <v>34</v>
      </c>
      <c r="X31">
        <v>34</v>
      </c>
      <c r="Y31">
        <v>35</v>
      </c>
      <c r="Z31">
        <v>35</v>
      </c>
      <c r="AA31">
        <v>36</v>
      </c>
      <c r="AB31">
        <v>37</v>
      </c>
      <c r="AC31">
        <v>37</v>
      </c>
      <c r="AD31">
        <v>38</v>
      </c>
      <c r="AE31">
        <v>39</v>
      </c>
      <c r="AF31">
        <v>39</v>
      </c>
      <c r="AG31">
        <v>40</v>
      </c>
      <c r="AH31">
        <v>41</v>
      </c>
      <c r="AI31">
        <v>41</v>
      </c>
      <c r="AJ31">
        <v>42</v>
      </c>
    </row>
    <row r="32" spans="1:36" x14ac:dyDescent="0.25">
      <c r="A32" s="24"/>
      <c r="B32">
        <v>118</v>
      </c>
      <c r="C32">
        <v>21</v>
      </c>
      <c r="D32">
        <v>21</v>
      </c>
      <c r="E32">
        <v>22</v>
      </c>
      <c r="F32">
        <v>23</v>
      </c>
      <c r="G32">
        <v>23</v>
      </c>
      <c r="H32">
        <v>24</v>
      </c>
      <c r="I32">
        <v>25</v>
      </c>
      <c r="J32">
        <v>25</v>
      </c>
      <c r="K32">
        <v>26</v>
      </c>
      <c r="L32">
        <v>27</v>
      </c>
      <c r="M32">
        <v>27</v>
      </c>
      <c r="N32">
        <v>28</v>
      </c>
      <c r="O32">
        <v>28</v>
      </c>
      <c r="P32">
        <v>29</v>
      </c>
      <c r="Q32">
        <v>30</v>
      </c>
      <c r="R32">
        <v>30</v>
      </c>
      <c r="S32">
        <v>31</v>
      </c>
      <c r="T32">
        <v>32</v>
      </c>
      <c r="U32">
        <v>32</v>
      </c>
      <c r="V32">
        <v>33</v>
      </c>
      <c r="W32">
        <v>34</v>
      </c>
      <c r="X32">
        <v>34</v>
      </c>
      <c r="Y32">
        <v>35</v>
      </c>
      <c r="Z32">
        <v>35</v>
      </c>
      <c r="AA32">
        <v>36</v>
      </c>
      <c r="AB32">
        <v>37</v>
      </c>
      <c r="AC32">
        <v>37</v>
      </c>
      <c r="AD32">
        <v>38</v>
      </c>
      <c r="AE32">
        <v>39</v>
      </c>
      <c r="AF32">
        <v>39</v>
      </c>
      <c r="AG32">
        <v>40</v>
      </c>
      <c r="AH32">
        <v>41</v>
      </c>
      <c r="AI32">
        <v>41</v>
      </c>
      <c r="AJ32">
        <v>42</v>
      </c>
    </row>
    <row r="33" spans="1:36" x14ac:dyDescent="0.25">
      <c r="A33" s="24"/>
      <c r="B33">
        <v>119</v>
      </c>
      <c r="C33">
        <v>21</v>
      </c>
      <c r="D33">
        <v>21</v>
      </c>
      <c r="E33">
        <v>22</v>
      </c>
      <c r="F33">
        <v>23</v>
      </c>
      <c r="G33">
        <v>23</v>
      </c>
      <c r="H33">
        <v>24</v>
      </c>
      <c r="I33">
        <v>25</v>
      </c>
      <c r="J33">
        <v>25</v>
      </c>
      <c r="K33">
        <v>26</v>
      </c>
      <c r="L33">
        <v>27</v>
      </c>
      <c r="M33">
        <v>27</v>
      </c>
      <c r="N33">
        <v>28</v>
      </c>
      <c r="O33">
        <v>28</v>
      </c>
      <c r="P33">
        <v>29</v>
      </c>
      <c r="Q33">
        <v>30</v>
      </c>
      <c r="R33">
        <v>30</v>
      </c>
      <c r="S33">
        <v>31</v>
      </c>
      <c r="T33">
        <v>32</v>
      </c>
      <c r="U33">
        <v>32</v>
      </c>
      <c r="V33">
        <v>33</v>
      </c>
      <c r="W33">
        <v>34</v>
      </c>
      <c r="X33">
        <v>34</v>
      </c>
      <c r="Y33">
        <v>35</v>
      </c>
      <c r="Z33">
        <v>35</v>
      </c>
      <c r="AA33">
        <v>36</v>
      </c>
      <c r="AB33">
        <v>37</v>
      </c>
      <c r="AC33">
        <v>37</v>
      </c>
      <c r="AD33">
        <v>38</v>
      </c>
      <c r="AE33">
        <v>39</v>
      </c>
      <c r="AF33">
        <v>39</v>
      </c>
      <c r="AG33">
        <v>40</v>
      </c>
      <c r="AH33">
        <v>40</v>
      </c>
      <c r="AI33">
        <v>41</v>
      </c>
      <c r="AJ33">
        <v>42</v>
      </c>
    </row>
    <row r="34" spans="1:36" x14ac:dyDescent="0.25">
      <c r="A34" s="24"/>
      <c r="B34">
        <v>120</v>
      </c>
      <c r="C34">
        <v>21</v>
      </c>
      <c r="D34">
        <v>21</v>
      </c>
      <c r="E34">
        <v>22</v>
      </c>
      <c r="F34">
        <v>23</v>
      </c>
      <c r="G34">
        <v>23</v>
      </c>
      <c r="H34">
        <v>24</v>
      </c>
      <c r="I34">
        <v>25</v>
      </c>
      <c r="J34">
        <v>25</v>
      </c>
      <c r="K34">
        <v>26</v>
      </c>
      <c r="L34">
        <v>27</v>
      </c>
      <c r="M34">
        <v>27</v>
      </c>
      <c r="N34">
        <v>28</v>
      </c>
      <c r="O34">
        <v>28</v>
      </c>
      <c r="P34">
        <v>29</v>
      </c>
      <c r="Q34">
        <v>30</v>
      </c>
      <c r="R34">
        <v>30</v>
      </c>
      <c r="S34">
        <v>31</v>
      </c>
      <c r="T34">
        <v>32</v>
      </c>
      <c r="U34">
        <v>32</v>
      </c>
      <c r="V34">
        <v>33</v>
      </c>
      <c r="W34">
        <v>34</v>
      </c>
      <c r="X34">
        <v>34</v>
      </c>
      <c r="Y34">
        <v>35</v>
      </c>
      <c r="Z34">
        <v>35</v>
      </c>
      <c r="AA34">
        <v>36</v>
      </c>
      <c r="AB34">
        <v>37</v>
      </c>
      <c r="AC34">
        <v>37</v>
      </c>
      <c r="AD34">
        <v>38</v>
      </c>
      <c r="AE34">
        <v>39</v>
      </c>
      <c r="AF34">
        <v>39</v>
      </c>
      <c r="AG34">
        <v>40</v>
      </c>
      <c r="AH34">
        <v>40</v>
      </c>
      <c r="AI34">
        <v>41</v>
      </c>
      <c r="AJ34">
        <v>42</v>
      </c>
    </row>
    <row r="35" spans="1:36" x14ac:dyDescent="0.25">
      <c r="A35" s="24"/>
      <c r="B35">
        <v>121</v>
      </c>
      <c r="C35">
        <v>21</v>
      </c>
      <c r="D35">
        <v>21</v>
      </c>
      <c r="E35">
        <v>22</v>
      </c>
      <c r="F35">
        <v>23</v>
      </c>
      <c r="G35">
        <v>23</v>
      </c>
      <c r="H35">
        <v>24</v>
      </c>
      <c r="I35">
        <v>25</v>
      </c>
      <c r="J35">
        <v>25</v>
      </c>
      <c r="K35">
        <v>26</v>
      </c>
      <c r="L35">
        <v>27</v>
      </c>
      <c r="M35">
        <v>27</v>
      </c>
      <c r="N35">
        <v>28</v>
      </c>
      <c r="O35">
        <v>28</v>
      </c>
      <c r="P35">
        <v>29</v>
      </c>
      <c r="Q35">
        <v>30</v>
      </c>
      <c r="R35">
        <v>30</v>
      </c>
      <c r="S35">
        <v>31</v>
      </c>
      <c r="T35">
        <v>32</v>
      </c>
      <c r="U35">
        <v>32</v>
      </c>
      <c r="V35">
        <v>33</v>
      </c>
      <c r="W35">
        <v>33</v>
      </c>
      <c r="X35">
        <v>34</v>
      </c>
      <c r="Y35">
        <v>35</v>
      </c>
      <c r="Z35">
        <v>35</v>
      </c>
      <c r="AA35">
        <v>36</v>
      </c>
      <c r="AB35">
        <v>37</v>
      </c>
      <c r="AC35">
        <v>37</v>
      </c>
      <c r="AD35">
        <v>38</v>
      </c>
      <c r="AE35">
        <v>39</v>
      </c>
      <c r="AF35">
        <v>39</v>
      </c>
      <c r="AG35">
        <v>40</v>
      </c>
      <c r="AH35">
        <v>40</v>
      </c>
      <c r="AI35">
        <v>41</v>
      </c>
      <c r="AJ35">
        <v>42</v>
      </c>
    </row>
    <row r="36" spans="1:36" x14ac:dyDescent="0.25">
      <c r="A36" s="24"/>
      <c r="B36">
        <v>122</v>
      </c>
      <c r="C36">
        <v>21</v>
      </c>
      <c r="D36">
        <v>21</v>
      </c>
      <c r="E36">
        <v>22</v>
      </c>
      <c r="F36">
        <v>23</v>
      </c>
      <c r="G36">
        <v>23</v>
      </c>
      <c r="H36">
        <v>24</v>
      </c>
      <c r="I36">
        <v>25</v>
      </c>
      <c r="J36">
        <v>25</v>
      </c>
      <c r="K36">
        <v>26</v>
      </c>
      <c r="L36">
        <v>26</v>
      </c>
      <c r="M36">
        <v>27</v>
      </c>
      <c r="N36">
        <v>28</v>
      </c>
      <c r="O36">
        <v>28</v>
      </c>
      <c r="P36">
        <v>29</v>
      </c>
      <c r="Q36">
        <v>30</v>
      </c>
      <c r="R36">
        <v>30</v>
      </c>
      <c r="S36">
        <v>31</v>
      </c>
      <c r="T36">
        <v>32</v>
      </c>
      <c r="U36">
        <v>32</v>
      </c>
      <c r="V36">
        <v>33</v>
      </c>
      <c r="W36">
        <v>33</v>
      </c>
      <c r="X36">
        <v>34</v>
      </c>
      <c r="Y36">
        <v>35</v>
      </c>
      <c r="Z36">
        <v>35</v>
      </c>
      <c r="AA36">
        <v>36</v>
      </c>
      <c r="AB36">
        <v>37</v>
      </c>
      <c r="AC36">
        <v>37</v>
      </c>
      <c r="AD36">
        <v>38</v>
      </c>
      <c r="AE36">
        <v>39</v>
      </c>
      <c r="AF36">
        <v>39</v>
      </c>
      <c r="AG36">
        <v>40</v>
      </c>
      <c r="AH36">
        <v>40</v>
      </c>
      <c r="AI36">
        <v>41</v>
      </c>
      <c r="AJ36">
        <v>42</v>
      </c>
    </row>
    <row r="37" spans="1:36" x14ac:dyDescent="0.25">
      <c r="A37" s="24"/>
      <c r="B37">
        <v>123</v>
      </c>
      <c r="C37">
        <v>21</v>
      </c>
      <c r="D37">
        <v>21</v>
      </c>
      <c r="E37">
        <v>22</v>
      </c>
      <c r="F37">
        <v>23</v>
      </c>
      <c r="G37">
        <v>23</v>
      </c>
      <c r="H37">
        <v>24</v>
      </c>
      <c r="I37">
        <v>25</v>
      </c>
      <c r="J37">
        <v>25</v>
      </c>
      <c r="K37">
        <v>26</v>
      </c>
      <c r="L37">
        <v>26</v>
      </c>
      <c r="M37">
        <v>27</v>
      </c>
      <c r="N37">
        <v>28</v>
      </c>
      <c r="O37">
        <v>28</v>
      </c>
      <c r="P37">
        <v>29</v>
      </c>
      <c r="Q37">
        <v>30</v>
      </c>
      <c r="R37">
        <v>30</v>
      </c>
      <c r="S37">
        <v>31</v>
      </c>
      <c r="T37">
        <v>32</v>
      </c>
      <c r="U37">
        <v>32</v>
      </c>
      <c r="V37">
        <v>33</v>
      </c>
      <c r="W37">
        <v>33</v>
      </c>
      <c r="X37">
        <v>34</v>
      </c>
      <c r="Y37">
        <v>35</v>
      </c>
      <c r="Z37">
        <v>35</v>
      </c>
      <c r="AA37">
        <v>36</v>
      </c>
      <c r="AB37">
        <v>37</v>
      </c>
      <c r="AC37">
        <v>37</v>
      </c>
      <c r="AD37">
        <v>38</v>
      </c>
      <c r="AE37">
        <v>39</v>
      </c>
      <c r="AF37">
        <v>39</v>
      </c>
      <c r="AG37">
        <v>40</v>
      </c>
      <c r="AH37">
        <v>40</v>
      </c>
      <c r="AI37">
        <v>41</v>
      </c>
      <c r="AJ37">
        <v>42</v>
      </c>
    </row>
    <row r="38" spans="1:36" x14ac:dyDescent="0.25">
      <c r="A38" s="24"/>
      <c r="B38">
        <v>124</v>
      </c>
      <c r="C38">
        <v>21</v>
      </c>
      <c r="D38">
        <v>21</v>
      </c>
      <c r="E38">
        <v>22</v>
      </c>
      <c r="F38">
        <v>23</v>
      </c>
      <c r="G38">
        <v>23</v>
      </c>
      <c r="H38">
        <v>24</v>
      </c>
      <c r="I38">
        <v>25</v>
      </c>
      <c r="J38">
        <v>25</v>
      </c>
      <c r="K38">
        <v>26</v>
      </c>
      <c r="L38">
        <v>26</v>
      </c>
      <c r="M38">
        <v>27</v>
      </c>
      <c r="N38">
        <v>28</v>
      </c>
      <c r="O38">
        <v>28</v>
      </c>
      <c r="P38">
        <v>29</v>
      </c>
      <c r="Q38">
        <v>30</v>
      </c>
      <c r="R38">
        <v>30</v>
      </c>
      <c r="S38">
        <v>31</v>
      </c>
      <c r="T38">
        <v>32</v>
      </c>
      <c r="U38">
        <v>32</v>
      </c>
      <c r="V38">
        <v>33</v>
      </c>
      <c r="W38">
        <v>33</v>
      </c>
      <c r="X38">
        <v>34</v>
      </c>
      <c r="Y38">
        <v>35</v>
      </c>
      <c r="Z38">
        <v>35</v>
      </c>
      <c r="AA38">
        <v>36</v>
      </c>
      <c r="AB38">
        <v>37</v>
      </c>
      <c r="AC38">
        <v>37</v>
      </c>
      <c r="AD38">
        <v>38</v>
      </c>
      <c r="AE38">
        <v>39</v>
      </c>
      <c r="AF38">
        <v>39</v>
      </c>
      <c r="AG38">
        <v>40</v>
      </c>
      <c r="AH38">
        <v>40</v>
      </c>
      <c r="AI38">
        <v>41</v>
      </c>
      <c r="AJ38">
        <v>42</v>
      </c>
    </row>
    <row r="39" spans="1:36" x14ac:dyDescent="0.25">
      <c r="A39" s="24"/>
      <c r="B39">
        <v>125</v>
      </c>
      <c r="C39">
        <v>21</v>
      </c>
      <c r="D39">
        <v>21</v>
      </c>
      <c r="E39">
        <v>22</v>
      </c>
      <c r="F39">
        <v>23</v>
      </c>
      <c r="G39">
        <v>23</v>
      </c>
      <c r="H39">
        <v>24</v>
      </c>
      <c r="I39">
        <v>25</v>
      </c>
      <c r="J39">
        <v>25</v>
      </c>
      <c r="K39">
        <v>26</v>
      </c>
      <c r="L39">
        <v>26</v>
      </c>
      <c r="M39">
        <v>27</v>
      </c>
      <c r="N39">
        <v>28</v>
      </c>
      <c r="O39">
        <v>28</v>
      </c>
      <c r="P39">
        <v>29</v>
      </c>
      <c r="Q39">
        <v>30</v>
      </c>
      <c r="R39">
        <v>30</v>
      </c>
      <c r="S39">
        <v>31</v>
      </c>
      <c r="T39">
        <v>32</v>
      </c>
      <c r="U39">
        <v>32</v>
      </c>
      <c r="V39">
        <v>33</v>
      </c>
      <c r="W39">
        <v>33</v>
      </c>
      <c r="X39">
        <v>34</v>
      </c>
      <c r="Y39">
        <v>35</v>
      </c>
      <c r="Z39">
        <v>35</v>
      </c>
      <c r="AA39">
        <v>36</v>
      </c>
      <c r="AB39">
        <v>37</v>
      </c>
      <c r="AC39">
        <v>37</v>
      </c>
      <c r="AD39">
        <v>38</v>
      </c>
      <c r="AE39">
        <v>39</v>
      </c>
      <c r="AF39">
        <v>39</v>
      </c>
      <c r="AG39">
        <v>40</v>
      </c>
      <c r="AH39">
        <v>40</v>
      </c>
      <c r="AI39">
        <v>41</v>
      </c>
      <c r="AJ39">
        <v>42</v>
      </c>
    </row>
    <row r="40" spans="1:36" x14ac:dyDescent="0.25">
      <c r="A40" s="24"/>
      <c r="B40">
        <v>126</v>
      </c>
      <c r="C40">
        <v>21</v>
      </c>
      <c r="D40">
        <v>21</v>
      </c>
      <c r="E40">
        <v>22</v>
      </c>
      <c r="F40">
        <v>23</v>
      </c>
      <c r="G40">
        <v>23</v>
      </c>
      <c r="H40">
        <v>24</v>
      </c>
      <c r="I40">
        <v>25</v>
      </c>
      <c r="J40">
        <v>25</v>
      </c>
      <c r="K40">
        <v>26</v>
      </c>
      <c r="L40">
        <v>26</v>
      </c>
      <c r="M40">
        <v>27</v>
      </c>
      <c r="N40">
        <v>28</v>
      </c>
      <c r="O40">
        <v>28</v>
      </c>
      <c r="P40">
        <v>29</v>
      </c>
      <c r="Q40">
        <v>30</v>
      </c>
      <c r="R40">
        <v>30</v>
      </c>
      <c r="S40">
        <v>31</v>
      </c>
      <c r="T40">
        <v>32</v>
      </c>
      <c r="U40">
        <v>32</v>
      </c>
      <c r="V40">
        <v>33</v>
      </c>
      <c r="W40">
        <v>33</v>
      </c>
      <c r="X40">
        <v>34</v>
      </c>
      <c r="Y40">
        <v>35</v>
      </c>
      <c r="Z40">
        <v>35</v>
      </c>
      <c r="AA40">
        <v>36</v>
      </c>
      <c r="AB40">
        <v>37</v>
      </c>
      <c r="AC40">
        <v>37</v>
      </c>
      <c r="AD40">
        <v>38</v>
      </c>
      <c r="AE40">
        <v>38</v>
      </c>
      <c r="AF40">
        <v>39</v>
      </c>
      <c r="AG40">
        <v>40</v>
      </c>
      <c r="AH40">
        <v>40</v>
      </c>
      <c r="AI40">
        <v>41</v>
      </c>
      <c r="AJ40">
        <v>42</v>
      </c>
    </row>
    <row r="41" spans="1:36" x14ac:dyDescent="0.25">
      <c r="A41" s="24"/>
      <c r="B41">
        <v>127</v>
      </c>
      <c r="C41">
        <v>21</v>
      </c>
      <c r="D41">
        <v>21</v>
      </c>
      <c r="E41">
        <v>22</v>
      </c>
      <c r="F41">
        <v>23</v>
      </c>
      <c r="G41">
        <v>23</v>
      </c>
      <c r="H41">
        <v>24</v>
      </c>
      <c r="I41">
        <v>25</v>
      </c>
      <c r="J41">
        <v>25</v>
      </c>
      <c r="K41">
        <v>26</v>
      </c>
      <c r="L41">
        <v>26</v>
      </c>
      <c r="M41">
        <v>27</v>
      </c>
      <c r="N41">
        <v>28</v>
      </c>
      <c r="O41">
        <v>28</v>
      </c>
      <c r="P41">
        <v>29</v>
      </c>
      <c r="Q41">
        <v>30</v>
      </c>
      <c r="R41">
        <v>30</v>
      </c>
      <c r="S41">
        <v>31</v>
      </c>
      <c r="T41">
        <v>31</v>
      </c>
      <c r="U41">
        <v>32</v>
      </c>
      <c r="V41">
        <v>33</v>
      </c>
      <c r="W41">
        <v>33</v>
      </c>
      <c r="X41">
        <v>34</v>
      </c>
      <c r="Y41">
        <v>35</v>
      </c>
      <c r="Z41">
        <v>35</v>
      </c>
      <c r="AA41">
        <v>36</v>
      </c>
      <c r="AB41">
        <v>37</v>
      </c>
      <c r="AC41">
        <v>37</v>
      </c>
      <c r="AD41">
        <v>38</v>
      </c>
      <c r="AE41">
        <v>38</v>
      </c>
      <c r="AF41">
        <v>39</v>
      </c>
      <c r="AG41">
        <v>40</v>
      </c>
      <c r="AH41">
        <v>40</v>
      </c>
      <c r="AI41">
        <v>41</v>
      </c>
      <c r="AJ41">
        <v>42</v>
      </c>
    </row>
    <row r="42" spans="1:36" x14ac:dyDescent="0.25">
      <c r="A42" s="24"/>
      <c r="B42">
        <v>128</v>
      </c>
      <c r="C42">
        <v>21</v>
      </c>
      <c r="D42">
        <v>21</v>
      </c>
      <c r="E42">
        <v>22</v>
      </c>
      <c r="F42">
        <v>23</v>
      </c>
      <c r="G42">
        <v>23</v>
      </c>
      <c r="H42">
        <v>24</v>
      </c>
      <c r="I42">
        <v>24</v>
      </c>
      <c r="J42">
        <v>25</v>
      </c>
      <c r="K42">
        <v>26</v>
      </c>
      <c r="L42">
        <v>26</v>
      </c>
      <c r="M42">
        <v>27</v>
      </c>
      <c r="N42">
        <v>28</v>
      </c>
      <c r="O42">
        <v>28</v>
      </c>
      <c r="P42">
        <v>29</v>
      </c>
      <c r="Q42">
        <v>30</v>
      </c>
      <c r="R42">
        <v>30</v>
      </c>
      <c r="S42">
        <v>31</v>
      </c>
      <c r="T42">
        <v>31</v>
      </c>
      <c r="U42">
        <v>32</v>
      </c>
      <c r="V42">
        <v>33</v>
      </c>
      <c r="W42">
        <v>33</v>
      </c>
      <c r="X42">
        <v>34</v>
      </c>
      <c r="Y42">
        <v>35</v>
      </c>
      <c r="Z42">
        <v>35</v>
      </c>
      <c r="AA42">
        <v>36</v>
      </c>
      <c r="AB42">
        <v>37</v>
      </c>
      <c r="AC42">
        <v>37</v>
      </c>
      <c r="AD42">
        <v>38</v>
      </c>
      <c r="AE42">
        <v>38</v>
      </c>
      <c r="AF42">
        <v>39</v>
      </c>
      <c r="AG42">
        <v>40</v>
      </c>
      <c r="AH42">
        <v>40</v>
      </c>
      <c r="AI42">
        <v>41</v>
      </c>
      <c r="AJ42">
        <v>42</v>
      </c>
    </row>
    <row r="43" spans="1:36" x14ac:dyDescent="0.25">
      <c r="A43" s="24"/>
      <c r="B43">
        <v>129</v>
      </c>
      <c r="C43">
        <v>21</v>
      </c>
      <c r="D43">
        <v>21</v>
      </c>
      <c r="E43">
        <v>22</v>
      </c>
      <c r="F43">
        <v>23</v>
      </c>
      <c r="G43">
        <v>23</v>
      </c>
      <c r="H43">
        <v>24</v>
      </c>
      <c r="I43">
        <v>24</v>
      </c>
      <c r="J43">
        <v>25</v>
      </c>
      <c r="K43">
        <v>26</v>
      </c>
      <c r="L43">
        <v>26</v>
      </c>
      <c r="M43">
        <v>27</v>
      </c>
      <c r="N43">
        <v>28</v>
      </c>
      <c r="O43">
        <v>28</v>
      </c>
      <c r="P43">
        <v>29</v>
      </c>
      <c r="Q43">
        <v>30</v>
      </c>
      <c r="R43">
        <v>30</v>
      </c>
      <c r="S43">
        <v>31</v>
      </c>
      <c r="T43">
        <v>31</v>
      </c>
      <c r="U43">
        <v>32</v>
      </c>
      <c r="V43">
        <v>33</v>
      </c>
      <c r="W43">
        <v>33</v>
      </c>
      <c r="X43">
        <v>34</v>
      </c>
      <c r="Y43">
        <v>35</v>
      </c>
      <c r="Z43">
        <v>35</v>
      </c>
      <c r="AA43">
        <v>36</v>
      </c>
      <c r="AB43">
        <v>37</v>
      </c>
      <c r="AC43">
        <v>37</v>
      </c>
      <c r="AD43">
        <v>38</v>
      </c>
      <c r="AE43">
        <v>38</v>
      </c>
      <c r="AF43">
        <v>39</v>
      </c>
      <c r="AG43">
        <v>40</v>
      </c>
      <c r="AH43">
        <v>40</v>
      </c>
      <c r="AI43">
        <v>41</v>
      </c>
      <c r="AJ43">
        <v>42</v>
      </c>
    </row>
    <row r="44" spans="1:36" x14ac:dyDescent="0.25">
      <c r="A44" s="24"/>
      <c r="B44">
        <v>130</v>
      </c>
      <c r="C44">
        <v>21</v>
      </c>
      <c r="D44">
        <v>21</v>
      </c>
      <c r="E44">
        <v>22</v>
      </c>
      <c r="F44">
        <v>23</v>
      </c>
      <c r="G44">
        <v>23</v>
      </c>
      <c r="H44">
        <v>24</v>
      </c>
      <c r="I44">
        <v>24</v>
      </c>
      <c r="J44">
        <v>25</v>
      </c>
      <c r="K44">
        <v>26</v>
      </c>
      <c r="L44">
        <v>26</v>
      </c>
      <c r="M44">
        <v>27</v>
      </c>
      <c r="N44">
        <v>28</v>
      </c>
      <c r="O44">
        <v>28</v>
      </c>
      <c r="P44">
        <v>29</v>
      </c>
      <c r="Q44">
        <v>30</v>
      </c>
      <c r="R44">
        <v>30</v>
      </c>
      <c r="S44">
        <v>31</v>
      </c>
      <c r="T44">
        <v>31</v>
      </c>
      <c r="U44">
        <v>32</v>
      </c>
      <c r="V44">
        <v>33</v>
      </c>
      <c r="W44">
        <v>33</v>
      </c>
      <c r="X44">
        <v>34</v>
      </c>
      <c r="Y44">
        <v>35</v>
      </c>
      <c r="Z44">
        <v>35</v>
      </c>
      <c r="AA44">
        <v>36</v>
      </c>
      <c r="AB44">
        <v>37</v>
      </c>
      <c r="AC44">
        <v>37</v>
      </c>
      <c r="AD44">
        <v>38</v>
      </c>
      <c r="AE44">
        <v>38</v>
      </c>
      <c r="AF44">
        <v>39</v>
      </c>
      <c r="AG44">
        <v>40</v>
      </c>
      <c r="AH44">
        <v>40</v>
      </c>
      <c r="AI44">
        <v>41</v>
      </c>
      <c r="AJ44">
        <v>42</v>
      </c>
    </row>
    <row r="45" spans="1:36" x14ac:dyDescent="0.25">
      <c r="A45" s="24"/>
      <c r="B45">
        <v>131</v>
      </c>
      <c r="C45">
        <v>21</v>
      </c>
      <c r="D45">
        <v>21</v>
      </c>
      <c r="E45">
        <v>22</v>
      </c>
      <c r="F45">
        <v>23</v>
      </c>
      <c r="G45">
        <v>23</v>
      </c>
      <c r="H45">
        <v>24</v>
      </c>
      <c r="I45">
        <v>24</v>
      </c>
      <c r="J45">
        <v>25</v>
      </c>
      <c r="K45">
        <v>26</v>
      </c>
      <c r="L45">
        <v>26</v>
      </c>
      <c r="M45">
        <v>27</v>
      </c>
      <c r="N45">
        <v>28</v>
      </c>
      <c r="O45">
        <v>28</v>
      </c>
      <c r="P45">
        <v>29</v>
      </c>
      <c r="Q45">
        <v>30</v>
      </c>
      <c r="R45">
        <v>30</v>
      </c>
      <c r="S45">
        <v>31</v>
      </c>
      <c r="T45">
        <v>31</v>
      </c>
      <c r="U45">
        <v>32</v>
      </c>
      <c r="V45">
        <v>33</v>
      </c>
      <c r="W45">
        <v>33</v>
      </c>
      <c r="X45">
        <v>34</v>
      </c>
      <c r="Y45">
        <v>35</v>
      </c>
      <c r="Z45">
        <v>35</v>
      </c>
      <c r="AA45">
        <v>36</v>
      </c>
      <c r="AB45">
        <v>37</v>
      </c>
      <c r="AC45">
        <v>37</v>
      </c>
      <c r="AD45">
        <v>38</v>
      </c>
      <c r="AE45">
        <v>38</v>
      </c>
      <c r="AF45">
        <v>39</v>
      </c>
      <c r="AG45">
        <v>40</v>
      </c>
      <c r="AH45">
        <v>40</v>
      </c>
      <c r="AI45">
        <v>41</v>
      </c>
      <c r="AJ45">
        <v>42</v>
      </c>
    </row>
    <row r="46" spans="1:36" x14ac:dyDescent="0.25">
      <c r="A46" s="24"/>
      <c r="B46">
        <v>132</v>
      </c>
      <c r="C46">
        <v>21</v>
      </c>
      <c r="D46">
        <v>21</v>
      </c>
      <c r="E46">
        <v>22</v>
      </c>
      <c r="F46">
        <v>23</v>
      </c>
      <c r="G46">
        <v>23</v>
      </c>
      <c r="H46">
        <v>24</v>
      </c>
      <c r="I46">
        <v>24</v>
      </c>
      <c r="J46">
        <v>25</v>
      </c>
      <c r="K46">
        <v>26</v>
      </c>
      <c r="L46">
        <v>26</v>
      </c>
      <c r="M46">
        <v>27</v>
      </c>
      <c r="N46">
        <v>28</v>
      </c>
      <c r="O46">
        <v>28</v>
      </c>
      <c r="P46">
        <v>29</v>
      </c>
      <c r="Q46">
        <v>30</v>
      </c>
      <c r="R46">
        <v>30</v>
      </c>
      <c r="S46">
        <v>31</v>
      </c>
      <c r="T46">
        <v>31</v>
      </c>
      <c r="U46">
        <v>32</v>
      </c>
      <c r="V46">
        <v>33</v>
      </c>
      <c r="W46">
        <v>33</v>
      </c>
      <c r="X46">
        <v>34</v>
      </c>
      <c r="Y46">
        <v>35</v>
      </c>
      <c r="Z46">
        <v>35</v>
      </c>
      <c r="AA46">
        <v>36</v>
      </c>
      <c r="AB46">
        <v>36</v>
      </c>
      <c r="AC46">
        <v>37</v>
      </c>
      <c r="AD46">
        <v>38</v>
      </c>
      <c r="AE46">
        <v>38</v>
      </c>
      <c r="AF46">
        <v>39</v>
      </c>
      <c r="AG46">
        <v>40</v>
      </c>
      <c r="AH46">
        <v>40</v>
      </c>
      <c r="AI46">
        <v>41</v>
      </c>
      <c r="AJ46">
        <v>42</v>
      </c>
    </row>
    <row r="47" spans="1:36" x14ac:dyDescent="0.25">
      <c r="A47" s="24"/>
      <c r="B47">
        <v>133</v>
      </c>
      <c r="C47">
        <v>21</v>
      </c>
      <c r="D47">
        <v>21</v>
      </c>
      <c r="E47">
        <v>22</v>
      </c>
      <c r="F47">
        <v>23</v>
      </c>
      <c r="G47">
        <v>23</v>
      </c>
      <c r="H47">
        <v>24</v>
      </c>
      <c r="I47">
        <v>24</v>
      </c>
      <c r="J47">
        <v>25</v>
      </c>
      <c r="K47">
        <v>26</v>
      </c>
      <c r="L47">
        <v>26</v>
      </c>
      <c r="M47">
        <v>27</v>
      </c>
      <c r="N47">
        <v>28</v>
      </c>
      <c r="O47">
        <v>28</v>
      </c>
      <c r="P47">
        <v>29</v>
      </c>
      <c r="Q47">
        <v>29</v>
      </c>
      <c r="R47">
        <v>30</v>
      </c>
      <c r="S47">
        <v>31</v>
      </c>
      <c r="T47">
        <v>31</v>
      </c>
      <c r="U47">
        <v>32</v>
      </c>
      <c r="V47">
        <v>33</v>
      </c>
      <c r="W47">
        <v>33</v>
      </c>
      <c r="X47">
        <v>34</v>
      </c>
      <c r="Y47">
        <v>35</v>
      </c>
      <c r="Z47">
        <v>35</v>
      </c>
      <c r="AA47">
        <v>36</v>
      </c>
      <c r="AB47">
        <v>36</v>
      </c>
      <c r="AC47">
        <v>37</v>
      </c>
      <c r="AD47">
        <v>38</v>
      </c>
      <c r="AE47">
        <v>38</v>
      </c>
      <c r="AF47">
        <v>39</v>
      </c>
      <c r="AG47">
        <v>40</v>
      </c>
      <c r="AH47">
        <v>40</v>
      </c>
      <c r="AI47">
        <v>41</v>
      </c>
      <c r="AJ47">
        <v>42</v>
      </c>
    </row>
    <row r="48" spans="1:36" x14ac:dyDescent="0.25">
      <c r="A48" s="24"/>
      <c r="B48">
        <v>134</v>
      </c>
      <c r="C48">
        <v>21</v>
      </c>
      <c r="D48">
        <v>21</v>
      </c>
      <c r="E48">
        <v>22</v>
      </c>
      <c r="F48">
        <v>22</v>
      </c>
      <c r="G48">
        <v>23</v>
      </c>
      <c r="H48">
        <v>24</v>
      </c>
      <c r="I48">
        <v>24</v>
      </c>
      <c r="J48">
        <v>25</v>
      </c>
      <c r="K48">
        <v>26</v>
      </c>
      <c r="L48">
        <v>26</v>
      </c>
      <c r="M48">
        <v>27</v>
      </c>
      <c r="N48">
        <v>28</v>
      </c>
      <c r="O48">
        <v>28</v>
      </c>
      <c r="P48">
        <v>29</v>
      </c>
      <c r="Q48">
        <v>29</v>
      </c>
      <c r="R48">
        <v>30</v>
      </c>
      <c r="S48">
        <v>31</v>
      </c>
      <c r="T48">
        <v>31</v>
      </c>
      <c r="U48">
        <v>32</v>
      </c>
      <c r="V48">
        <v>33</v>
      </c>
      <c r="W48">
        <v>33</v>
      </c>
      <c r="X48">
        <v>34</v>
      </c>
      <c r="Y48">
        <v>35</v>
      </c>
      <c r="Z48">
        <v>35</v>
      </c>
      <c r="AA48">
        <v>36</v>
      </c>
      <c r="AB48">
        <v>36</v>
      </c>
      <c r="AC48">
        <v>37</v>
      </c>
      <c r="AD48">
        <v>38</v>
      </c>
      <c r="AE48">
        <v>38</v>
      </c>
      <c r="AF48">
        <v>39</v>
      </c>
      <c r="AG48">
        <v>40</v>
      </c>
      <c r="AH48">
        <v>40</v>
      </c>
      <c r="AI48">
        <v>41</v>
      </c>
      <c r="AJ48">
        <v>42</v>
      </c>
    </row>
    <row r="49" spans="1:36" x14ac:dyDescent="0.25">
      <c r="A49" s="24"/>
      <c r="B49">
        <v>135</v>
      </c>
      <c r="C49">
        <v>21</v>
      </c>
      <c r="D49">
        <v>21</v>
      </c>
      <c r="E49">
        <v>22</v>
      </c>
      <c r="F49">
        <v>22</v>
      </c>
      <c r="G49">
        <v>23</v>
      </c>
      <c r="H49">
        <v>24</v>
      </c>
      <c r="I49">
        <v>24</v>
      </c>
      <c r="J49">
        <v>25</v>
      </c>
      <c r="K49">
        <v>26</v>
      </c>
      <c r="L49">
        <v>26</v>
      </c>
      <c r="M49">
        <v>27</v>
      </c>
      <c r="N49">
        <v>28</v>
      </c>
      <c r="O49">
        <v>28</v>
      </c>
      <c r="P49">
        <v>29</v>
      </c>
      <c r="Q49">
        <v>29</v>
      </c>
      <c r="R49">
        <v>30</v>
      </c>
      <c r="S49">
        <v>31</v>
      </c>
      <c r="T49">
        <v>31</v>
      </c>
      <c r="U49">
        <v>32</v>
      </c>
      <c r="V49">
        <v>33</v>
      </c>
      <c r="W49">
        <v>33</v>
      </c>
      <c r="X49">
        <v>34</v>
      </c>
      <c r="Y49">
        <v>35</v>
      </c>
      <c r="Z49">
        <v>35</v>
      </c>
      <c r="AA49">
        <v>36</v>
      </c>
      <c r="AB49">
        <v>36</v>
      </c>
      <c r="AC49">
        <v>37</v>
      </c>
      <c r="AD49">
        <v>38</v>
      </c>
      <c r="AE49">
        <v>38</v>
      </c>
      <c r="AF49">
        <v>39</v>
      </c>
      <c r="AG49">
        <v>40</v>
      </c>
      <c r="AH49">
        <v>40</v>
      </c>
      <c r="AI49">
        <v>41</v>
      </c>
      <c r="AJ49">
        <v>42</v>
      </c>
    </row>
    <row r="50" spans="1:36" x14ac:dyDescent="0.25">
      <c r="A50" s="24"/>
      <c r="B50">
        <v>136</v>
      </c>
      <c r="C50">
        <v>21</v>
      </c>
      <c r="D50">
        <v>21</v>
      </c>
      <c r="E50">
        <v>22</v>
      </c>
      <c r="F50">
        <v>22</v>
      </c>
      <c r="G50">
        <v>23</v>
      </c>
      <c r="H50">
        <v>24</v>
      </c>
      <c r="I50">
        <v>24</v>
      </c>
      <c r="J50">
        <v>25</v>
      </c>
      <c r="K50">
        <v>26</v>
      </c>
      <c r="L50">
        <v>26</v>
      </c>
      <c r="M50">
        <v>27</v>
      </c>
      <c r="N50">
        <v>28</v>
      </c>
      <c r="O50">
        <v>28</v>
      </c>
      <c r="P50">
        <v>29</v>
      </c>
      <c r="Q50">
        <v>29</v>
      </c>
      <c r="R50">
        <v>30</v>
      </c>
      <c r="S50">
        <v>31</v>
      </c>
      <c r="T50">
        <v>31</v>
      </c>
      <c r="U50">
        <v>32</v>
      </c>
      <c r="V50">
        <v>33</v>
      </c>
      <c r="W50">
        <v>33</v>
      </c>
      <c r="X50">
        <v>34</v>
      </c>
      <c r="Y50">
        <v>35</v>
      </c>
      <c r="Z50">
        <v>35</v>
      </c>
      <c r="AA50">
        <v>36</v>
      </c>
      <c r="AB50">
        <v>36</v>
      </c>
      <c r="AC50">
        <v>37</v>
      </c>
      <c r="AD50">
        <v>38</v>
      </c>
      <c r="AE50">
        <v>38</v>
      </c>
      <c r="AF50">
        <v>39</v>
      </c>
      <c r="AG50">
        <v>40</v>
      </c>
      <c r="AH50">
        <v>40</v>
      </c>
      <c r="AI50">
        <v>41</v>
      </c>
      <c r="AJ50">
        <v>42</v>
      </c>
    </row>
    <row r="51" spans="1:36" x14ac:dyDescent="0.25">
      <c r="A51" s="24"/>
      <c r="B51">
        <v>137</v>
      </c>
      <c r="C51">
        <v>21</v>
      </c>
      <c r="D51">
        <v>21</v>
      </c>
      <c r="E51">
        <v>22</v>
      </c>
      <c r="F51">
        <v>22</v>
      </c>
      <c r="G51">
        <v>23</v>
      </c>
      <c r="H51">
        <v>24</v>
      </c>
      <c r="I51">
        <v>24</v>
      </c>
      <c r="J51">
        <v>25</v>
      </c>
      <c r="K51">
        <v>26</v>
      </c>
      <c r="L51">
        <v>26</v>
      </c>
      <c r="M51">
        <v>27</v>
      </c>
      <c r="N51">
        <v>28</v>
      </c>
      <c r="O51">
        <v>28</v>
      </c>
      <c r="P51">
        <v>29</v>
      </c>
      <c r="Q51">
        <v>29</v>
      </c>
      <c r="R51">
        <v>30</v>
      </c>
      <c r="S51">
        <v>31</v>
      </c>
      <c r="T51">
        <v>31</v>
      </c>
      <c r="U51">
        <v>32</v>
      </c>
      <c r="V51">
        <v>33</v>
      </c>
      <c r="W51">
        <v>33</v>
      </c>
      <c r="X51">
        <v>34</v>
      </c>
      <c r="Y51">
        <v>35</v>
      </c>
      <c r="Z51">
        <v>35</v>
      </c>
      <c r="AA51">
        <v>36</v>
      </c>
      <c r="AB51">
        <v>36</v>
      </c>
      <c r="AC51">
        <v>37</v>
      </c>
      <c r="AD51">
        <v>38</v>
      </c>
      <c r="AE51">
        <v>38</v>
      </c>
      <c r="AF51">
        <v>39</v>
      </c>
      <c r="AG51">
        <v>40</v>
      </c>
      <c r="AH51">
        <v>40</v>
      </c>
      <c r="AI51">
        <v>41</v>
      </c>
      <c r="AJ51">
        <v>42</v>
      </c>
    </row>
    <row r="52" spans="1:36" x14ac:dyDescent="0.25">
      <c r="A52" s="24"/>
      <c r="B52">
        <v>138</v>
      </c>
      <c r="C52">
        <v>21</v>
      </c>
      <c r="D52">
        <v>21</v>
      </c>
      <c r="E52">
        <v>22</v>
      </c>
      <c r="F52">
        <v>22</v>
      </c>
      <c r="G52">
        <v>23</v>
      </c>
      <c r="H52">
        <v>24</v>
      </c>
      <c r="I52">
        <v>24</v>
      </c>
      <c r="J52">
        <v>25</v>
      </c>
      <c r="K52">
        <v>26</v>
      </c>
      <c r="L52">
        <v>26</v>
      </c>
      <c r="M52">
        <v>27</v>
      </c>
      <c r="N52">
        <v>28</v>
      </c>
      <c r="O52">
        <v>28</v>
      </c>
      <c r="P52">
        <v>29</v>
      </c>
      <c r="Q52">
        <v>29</v>
      </c>
      <c r="R52">
        <v>30</v>
      </c>
      <c r="S52">
        <v>31</v>
      </c>
      <c r="T52">
        <v>31</v>
      </c>
      <c r="U52">
        <v>32</v>
      </c>
      <c r="V52">
        <v>33</v>
      </c>
      <c r="W52">
        <v>33</v>
      </c>
      <c r="X52">
        <v>34</v>
      </c>
      <c r="Y52">
        <v>34</v>
      </c>
      <c r="Z52">
        <v>35</v>
      </c>
      <c r="AA52">
        <v>36</v>
      </c>
      <c r="AB52">
        <v>36</v>
      </c>
      <c r="AC52">
        <v>37</v>
      </c>
      <c r="AD52">
        <v>38</v>
      </c>
      <c r="AE52">
        <v>38</v>
      </c>
      <c r="AF52">
        <v>39</v>
      </c>
      <c r="AG52">
        <v>40</v>
      </c>
      <c r="AH52">
        <v>40</v>
      </c>
      <c r="AI52">
        <v>41</v>
      </c>
      <c r="AJ52">
        <v>41</v>
      </c>
    </row>
    <row r="53" spans="1:36" x14ac:dyDescent="0.25">
      <c r="A53" s="24"/>
      <c r="B53">
        <v>139</v>
      </c>
      <c r="C53">
        <v>21</v>
      </c>
      <c r="D53">
        <v>21</v>
      </c>
      <c r="E53">
        <v>22</v>
      </c>
      <c r="F53">
        <v>22</v>
      </c>
      <c r="G53">
        <v>23</v>
      </c>
      <c r="H53">
        <v>24</v>
      </c>
      <c r="I53">
        <v>24</v>
      </c>
      <c r="J53">
        <v>25</v>
      </c>
      <c r="K53">
        <v>26</v>
      </c>
      <c r="L53">
        <v>26</v>
      </c>
      <c r="M53">
        <v>27</v>
      </c>
      <c r="N53">
        <v>28</v>
      </c>
      <c r="O53">
        <v>28</v>
      </c>
      <c r="P53">
        <v>29</v>
      </c>
      <c r="Q53">
        <v>29</v>
      </c>
      <c r="R53">
        <v>30</v>
      </c>
      <c r="S53">
        <v>31</v>
      </c>
      <c r="T53">
        <v>31</v>
      </c>
      <c r="U53">
        <v>32</v>
      </c>
      <c r="V53">
        <v>33</v>
      </c>
      <c r="W53">
        <v>33</v>
      </c>
      <c r="X53">
        <v>34</v>
      </c>
      <c r="Y53">
        <v>34</v>
      </c>
      <c r="Z53">
        <v>35</v>
      </c>
      <c r="AA53">
        <v>36</v>
      </c>
      <c r="AB53">
        <v>36</v>
      </c>
      <c r="AC53">
        <v>37</v>
      </c>
      <c r="AD53">
        <v>38</v>
      </c>
      <c r="AE53">
        <v>38</v>
      </c>
      <c r="AF53">
        <v>39</v>
      </c>
      <c r="AG53">
        <v>40</v>
      </c>
      <c r="AH53">
        <v>40</v>
      </c>
      <c r="AI53">
        <v>41</v>
      </c>
      <c r="AJ53">
        <v>41</v>
      </c>
    </row>
    <row r="54" spans="1:36" x14ac:dyDescent="0.25">
      <c r="A54" s="24"/>
      <c r="B54">
        <v>140</v>
      </c>
      <c r="C54">
        <v>20</v>
      </c>
      <c r="D54">
        <v>21</v>
      </c>
      <c r="E54">
        <v>22</v>
      </c>
      <c r="F54">
        <v>22</v>
      </c>
      <c r="G54">
        <v>23</v>
      </c>
      <c r="H54">
        <v>24</v>
      </c>
      <c r="I54">
        <v>24</v>
      </c>
      <c r="J54">
        <v>25</v>
      </c>
      <c r="K54">
        <v>26</v>
      </c>
      <c r="L54">
        <v>26</v>
      </c>
      <c r="M54">
        <v>27</v>
      </c>
      <c r="N54">
        <v>27</v>
      </c>
      <c r="O54">
        <v>28</v>
      </c>
      <c r="P54">
        <v>29</v>
      </c>
      <c r="Q54">
        <v>29</v>
      </c>
      <c r="R54">
        <v>30</v>
      </c>
      <c r="S54">
        <v>31</v>
      </c>
      <c r="T54">
        <v>31</v>
      </c>
      <c r="U54">
        <v>32</v>
      </c>
      <c r="V54">
        <v>33</v>
      </c>
      <c r="W54">
        <v>33</v>
      </c>
      <c r="X54">
        <v>34</v>
      </c>
      <c r="Y54">
        <v>34</v>
      </c>
      <c r="Z54">
        <v>35</v>
      </c>
      <c r="AA54">
        <v>36</v>
      </c>
      <c r="AB54">
        <v>36</v>
      </c>
      <c r="AC54">
        <v>37</v>
      </c>
      <c r="AD54">
        <v>38</v>
      </c>
      <c r="AE54">
        <v>38</v>
      </c>
      <c r="AF54">
        <v>39</v>
      </c>
      <c r="AG54">
        <v>40</v>
      </c>
      <c r="AH54">
        <v>40</v>
      </c>
      <c r="AI54">
        <v>41</v>
      </c>
      <c r="AJ54">
        <v>41</v>
      </c>
    </row>
    <row r="55" spans="1:36" x14ac:dyDescent="0.25">
      <c r="A55" s="24"/>
      <c r="B55">
        <v>141</v>
      </c>
      <c r="C55">
        <v>20</v>
      </c>
      <c r="D55">
        <v>21</v>
      </c>
      <c r="E55">
        <v>22</v>
      </c>
      <c r="F55">
        <v>22</v>
      </c>
      <c r="G55">
        <v>23</v>
      </c>
      <c r="H55">
        <v>24</v>
      </c>
      <c r="I55">
        <v>24</v>
      </c>
      <c r="J55">
        <v>25</v>
      </c>
      <c r="K55">
        <v>26</v>
      </c>
      <c r="L55">
        <v>26</v>
      </c>
      <c r="M55">
        <v>27</v>
      </c>
      <c r="N55">
        <v>27</v>
      </c>
      <c r="O55">
        <v>28</v>
      </c>
      <c r="P55">
        <v>29</v>
      </c>
      <c r="Q55">
        <v>29</v>
      </c>
      <c r="R55">
        <v>30</v>
      </c>
      <c r="S55">
        <v>31</v>
      </c>
      <c r="T55">
        <v>31</v>
      </c>
      <c r="U55">
        <v>32</v>
      </c>
      <c r="V55">
        <v>33</v>
      </c>
      <c r="W55">
        <v>33</v>
      </c>
      <c r="X55">
        <v>34</v>
      </c>
      <c r="Y55">
        <v>34</v>
      </c>
      <c r="Z55">
        <v>35</v>
      </c>
      <c r="AA55">
        <v>36</v>
      </c>
      <c r="AB55">
        <v>36</v>
      </c>
      <c r="AC55">
        <v>37</v>
      </c>
      <c r="AD55">
        <v>38</v>
      </c>
      <c r="AE55">
        <v>38</v>
      </c>
      <c r="AF55">
        <v>39</v>
      </c>
      <c r="AG55">
        <v>40</v>
      </c>
      <c r="AH55">
        <v>40</v>
      </c>
      <c r="AI55">
        <v>41</v>
      </c>
      <c r="AJ55">
        <v>41</v>
      </c>
    </row>
    <row r="56" spans="1:36" x14ac:dyDescent="0.25">
      <c r="A56" s="24"/>
      <c r="B56">
        <v>142</v>
      </c>
      <c r="C56">
        <v>20</v>
      </c>
      <c r="D56">
        <v>21</v>
      </c>
      <c r="E56">
        <v>22</v>
      </c>
      <c r="F56">
        <v>22</v>
      </c>
      <c r="G56">
        <v>23</v>
      </c>
      <c r="H56">
        <v>24</v>
      </c>
      <c r="I56">
        <v>24</v>
      </c>
      <c r="J56">
        <v>25</v>
      </c>
      <c r="K56">
        <v>26</v>
      </c>
      <c r="L56">
        <v>26</v>
      </c>
      <c r="M56">
        <v>27</v>
      </c>
      <c r="N56">
        <v>27</v>
      </c>
      <c r="O56">
        <v>28</v>
      </c>
      <c r="P56">
        <v>29</v>
      </c>
      <c r="Q56">
        <v>29</v>
      </c>
      <c r="R56">
        <v>30</v>
      </c>
      <c r="S56">
        <v>31</v>
      </c>
      <c r="T56">
        <v>31</v>
      </c>
      <c r="U56">
        <v>32</v>
      </c>
      <c r="V56">
        <v>33</v>
      </c>
      <c r="W56">
        <v>33</v>
      </c>
      <c r="X56">
        <v>34</v>
      </c>
      <c r="Y56">
        <v>34</v>
      </c>
      <c r="Z56">
        <v>35</v>
      </c>
      <c r="AA56">
        <v>36</v>
      </c>
      <c r="AB56">
        <v>36</v>
      </c>
      <c r="AC56">
        <v>37</v>
      </c>
      <c r="AD56">
        <v>38</v>
      </c>
      <c r="AE56">
        <v>38</v>
      </c>
      <c r="AF56">
        <v>39</v>
      </c>
      <c r="AG56">
        <v>40</v>
      </c>
      <c r="AH56">
        <v>40</v>
      </c>
      <c r="AI56">
        <v>41</v>
      </c>
      <c r="AJ56">
        <v>41</v>
      </c>
    </row>
    <row r="57" spans="1:36" x14ac:dyDescent="0.25">
      <c r="A57" s="24"/>
      <c r="B57">
        <v>143</v>
      </c>
      <c r="C57">
        <v>20</v>
      </c>
      <c r="D57">
        <v>21</v>
      </c>
      <c r="E57">
        <v>22</v>
      </c>
      <c r="F57">
        <v>22</v>
      </c>
      <c r="G57">
        <v>23</v>
      </c>
      <c r="H57">
        <v>24</v>
      </c>
      <c r="I57">
        <v>24</v>
      </c>
      <c r="J57">
        <v>25</v>
      </c>
      <c r="K57">
        <v>26</v>
      </c>
      <c r="L57">
        <v>26</v>
      </c>
      <c r="M57">
        <v>27</v>
      </c>
      <c r="N57">
        <v>27</v>
      </c>
      <c r="O57">
        <v>28</v>
      </c>
      <c r="P57">
        <v>29</v>
      </c>
      <c r="Q57">
        <v>29</v>
      </c>
      <c r="R57">
        <v>30</v>
      </c>
      <c r="S57">
        <v>31</v>
      </c>
      <c r="T57">
        <v>31</v>
      </c>
      <c r="U57">
        <v>32</v>
      </c>
      <c r="V57">
        <v>33</v>
      </c>
      <c r="W57">
        <v>33</v>
      </c>
      <c r="X57">
        <v>34</v>
      </c>
      <c r="Y57">
        <v>34</v>
      </c>
      <c r="Z57">
        <v>35</v>
      </c>
      <c r="AA57">
        <v>36</v>
      </c>
      <c r="AB57">
        <v>36</v>
      </c>
      <c r="AC57">
        <v>37</v>
      </c>
      <c r="AD57">
        <v>38</v>
      </c>
      <c r="AE57">
        <v>38</v>
      </c>
      <c r="AF57">
        <v>39</v>
      </c>
      <c r="AG57">
        <v>40</v>
      </c>
      <c r="AH57">
        <v>40</v>
      </c>
      <c r="AI57">
        <v>41</v>
      </c>
      <c r="AJ57">
        <v>41</v>
      </c>
    </row>
    <row r="58" spans="1:36" x14ac:dyDescent="0.25">
      <c r="A58" s="24"/>
      <c r="B58">
        <v>144</v>
      </c>
      <c r="C58">
        <v>20</v>
      </c>
      <c r="D58">
        <v>21</v>
      </c>
      <c r="E58">
        <v>22</v>
      </c>
      <c r="F58">
        <v>22</v>
      </c>
      <c r="G58">
        <v>23</v>
      </c>
      <c r="H58">
        <v>24</v>
      </c>
      <c r="I58">
        <v>24</v>
      </c>
      <c r="J58">
        <v>25</v>
      </c>
      <c r="K58">
        <v>26</v>
      </c>
      <c r="L58">
        <v>26</v>
      </c>
      <c r="M58">
        <v>27</v>
      </c>
      <c r="N58">
        <v>27</v>
      </c>
      <c r="O58">
        <v>28</v>
      </c>
      <c r="P58">
        <v>29</v>
      </c>
      <c r="Q58">
        <v>29</v>
      </c>
      <c r="R58">
        <v>30</v>
      </c>
      <c r="S58">
        <v>31</v>
      </c>
      <c r="T58">
        <v>31</v>
      </c>
      <c r="U58">
        <v>32</v>
      </c>
      <c r="V58">
        <v>33</v>
      </c>
      <c r="W58">
        <v>33</v>
      </c>
      <c r="X58">
        <v>34</v>
      </c>
      <c r="Y58">
        <v>34</v>
      </c>
      <c r="Z58">
        <v>35</v>
      </c>
      <c r="AA58">
        <v>36</v>
      </c>
      <c r="AB58">
        <v>36</v>
      </c>
      <c r="AC58">
        <v>37</v>
      </c>
      <c r="AD58">
        <v>38</v>
      </c>
      <c r="AE58">
        <v>38</v>
      </c>
      <c r="AF58">
        <v>39</v>
      </c>
      <c r="AG58">
        <v>39</v>
      </c>
      <c r="AH58">
        <v>40</v>
      </c>
      <c r="AI58">
        <v>41</v>
      </c>
      <c r="AJ58">
        <v>41</v>
      </c>
    </row>
    <row r="59" spans="1:36" x14ac:dyDescent="0.25">
      <c r="A59" s="24"/>
      <c r="B59">
        <v>145</v>
      </c>
      <c r="C59">
        <v>20</v>
      </c>
      <c r="D59">
        <v>21</v>
      </c>
      <c r="E59">
        <v>22</v>
      </c>
      <c r="F59">
        <v>22</v>
      </c>
      <c r="G59">
        <v>23</v>
      </c>
      <c r="H59">
        <v>24</v>
      </c>
      <c r="I59">
        <v>24</v>
      </c>
      <c r="J59">
        <v>25</v>
      </c>
      <c r="K59">
        <v>26</v>
      </c>
      <c r="L59">
        <v>26</v>
      </c>
      <c r="M59">
        <v>27</v>
      </c>
      <c r="N59">
        <v>27</v>
      </c>
      <c r="O59">
        <v>28</v>
      </c>
      <c r="P59">
        <v>29</v>
      </c>
      <c r="Q59">
        <v>29</v>
      </c>
      <c r="R59">
        <v>30</v>
      </c>
      <c r="S59">
        <v>31</v>
      </c>
      <c r="T59">
        <v>31</v>
      </c>
      <c r="U59">
        <v>32</v>
      </c>
      <c r="V59">
        <v>32</v>
      </c>
      <c r="W59">
        <v>33</v>
      </c>
      <c r="X59">
        <v>34</v>
      </c>
      <c r="Y59">
        <v>34</v>
      </c>
      <c r="Z59">
        <v>35</v>
      </c>
      <c r="AA59">
        <v>36</v>
      </c>
      <c r="AB59">
        <v>36</v>
      </c>
      <c r="AC59">
        <v>37</v>
      </c>
      <c r="AD59">
        <v>38</v>
      </c>
      <c r="AE59">
        <v>38</v>
      </c>
      <c r="AF59">
        <v>39</v>
      </c>
      <c r="AG59">
        <v>39</v>
      </c>
      <c r="AH59">
        <v>40</v>
      </c>
      <c r="AI59">
        <v>41</v>
      </c>
      <c r="AJ59">
        <v>41</v>
      </c>
    </row>
    <row r="60" spans="1:36" x14ac:dyDescent="0.25">
      <c r="A60" s="24"/>
      <c r="B60">
        <v>146</v>
      </c>
      <c r="C60">
        <v>20</v>
      </c>
      <c r="D60">
        <v>21</v>
      </c>
      <c r="E60">
        <v>22</v>
      </c>
      <c r="F60">
        <v>22</v>
      </c>
      <c r="G60">
        <v>23</v>
      </c>
      <c r="H60">
        <v>24</v>
      </c>
      <c r="I60">
        <v>24</v>
      </c>
      <c r="J60">
        <v>25</v>
      </c>
      <c r="K60">
        <v>25</v>
      </c>
      <c r="L60">
        <v>26</v>
      </c>
      <c r="M60">
        <v>27</v>
      </c>
      <c r="N60">
        <v>27</v>
      </c>
      <c r="O60">
        <v>28</v>
      </c>
      <c r="P60">
        <v>29</v>
      </c>
      <c r="Q60">
        <v>29</v>
      </c>
      <c r="R60">
        <v>30</v>
      </c>
      <c r="S60">
        <v>31</v>
      </c>
      <c r="T60">
        <v>31</v>
      </c>
      <c r="U60">
        <v>32</v>
      </c>
      <c r="V60">
        <v>32</v>
      </c>
      <c r="W60">
        <v>33</v>
      </c>
      <c r="X60">
        <v>34</v>
      </c>
      <c r="Y60">
        <v>34</v>
      </c>
      <c r="Z60">
        <v>35</v>
      </c>
      <c r="AA60">
        <v>36</v>
      </c>
      <c r="AB60">
        <v>36</v>
      </c>
      <c r="AC60">
        <v>37</v>
      </c>
      <c r="AD60">
        <v>38</v>
      </c>
      <c r="AE60">
        <v>38</v>
      </c>
      <c r="AF60">
        <v>39</v>
      </c>
      <c r="AG60">
        <v>39</v>
      </c>
      <c r="AH60">
        <v>40</v>
      </c>
      <c r="AI60">
        <v>41</v>
      </c>
      <c r="AJ60">
        <v>41</v>
      </c>
    </row>
    <row r="61" spans="1:36" x14ac:dyDescent="0.25">
      <c r="A61" s="24"/>
      <c r="B61">
        <v>147</v>
      </c>
      <c r="C61">
        <v>20</v>
      </c>
      <c r="D61">
        <v>21</v>
      </c>
      <c r="E61">
        <v>22</v>
      </c>
      <c r="F61">
        <v>22</v>
      </c>
      <c r="G61">
        <v>23</v>
      </c>
      <c r="H61">
        <v>24</v>
      </c>
      <c r="I61">
        <v>24</v>
      </c>
      <c r="J61">
        <v>25</v>
      </c>
      <c r="K61">
        <v>25</v>
      </c>
      <c r="L61">
        <v>26</v>
      </c>
      <c r="M61">
        <v>27</v>
      </c>
      <c r="N61">
        <v>27</v>
      </c>
      <c r="O61">
        <v>28</v>
      </c>
      <c r="P61">
        <v>29</v>
      </c>
      <c r="Q61">
        <v>29</v>
      </c>
      <c r="R61">
        <v>30</v>
      </c>
      <c r="S61">
        <v>31</v>
      </c>
      <c r="T61">
        <v>31</v>
      </c>
      <c r="U61">
        <v>32</v>
      </c>
      <c r="V61">
        <v>32</v>
      </c>
      <c r="W61">
        <v>33</v>
      </c>
      <c r="X61">
        <v>34</v>
      </c>
      <c r="Y61">
        <v>34</v>
      </c>
      <c r="Z61">
        <v>35</v>
      </c>
      <c r="AA61">
        <v>36</v>
      </c>
      <c r="AB61">
        <v>36</v>
      </c>
      <c r="AC61">
        <v>37</v>
      </c>
      <c r="AD61">
        <v>38</v>
      </c>
      <c r="AE61">
        <v>38</v>
      </c>
      <c r="AF61">
        <v>39</v>
      </c>
      <c r="AG61">
        <v>39</v>
      </c>
      <c r="AH61">
        <v>40</v>
      </c>
      <c r="AI61">
        <v>41</v>
      </c>
      <c r="AJ61">
        <v>41</v>
      </c>
    </row>
    <row r="62" spans="1:36" x14ac:dyDescent="0.25">
      <c r="A62" s="24"/>
      <c r="B62">
        <v>148</v>
      </c>
      <c r="C62">
        <v>20</v>
      </c>
      <c r="D62">
        <v>21</v>
      </c>
      <c r="E62">
        <v>22</v>
      </c>
      <c r="F62">
        <v>22</v>
      </c>
      <c r="G62">
        <v>23</v>
      </c>
      <c r="H62">
        <v>24</v>
      </c>
      <c r="I62">
        <v>24</v>
      </c>
      <c r="J62">
        <v>25</v>
      </c>
      <c r="K62">
        <v>25</v>
      </c>
      <c r="L62">
        <v>26</v>
      </c>
      <c r="M62">
        <v>27</v>
      </c>
      <c r="N62">
        <v>27</v>
      </c>
      <c r="O62">
        <v>28</v>
      </c>
      <c r="P62">
        <v>29</v>
      </c>
      <c r="Q62">
        <v>29</v>
      </c>
      <c r="R62">
        <v>30</v>
      </c>
      <c r="S62">
        <v>31</v>
      </c>
      <c r="T62">
        <v>31</v>
      </c>
      <c r="U62">
        <v>32</v>
      </c>
      <c r="V62">
        <v>32</v>
      </c>
      <c r="W62">
        <v>33</v>
      </c>
      <c r="X62">
        <v>34</v>
      </c>
      <c r="Y62">
        <v>34</v>
      </c>
      <c r="Z62">
        <v>35</v>
      </c>
      <c r="AA62">
        <v>36</v>
      </c>
      <c r="AB62">
        <v>36</v>
      </c>
      <c r="AC62">
        <v>37</v>
      </c>
      <c r="AD62">
        <v>38</v>
      </c>
      <c r="AE62">
        <v>38</v>
      </c>
      <c r="AF62">
        <v>39</v>
      </c>
      <c r="AG62">
        <v>39</v>
      </c>
      <c r="AH62">
        <v>40</v>
      </c>
      <c r="AI62">
        <v>41</v>
      </c>
      <c r="AJ62">
        <v>41</v>
      </c>
    </row>
    <row r="63" spans="1:36" x14ac:dyDescent="0.25">
      <c r="A63" s="24"/>
      <c r="B63">
        <v>149</v>
      </c>
      <c r="C63">
        <v>20</v>
      </c>
      <c r="D63">
        <v>21</v>
      </c>
      <c r="E63">
        <v>22</v>
      </c>
      <c r="F63">
        <v>22</v>
      </c>
      <c r="G63">
        <v>23</v>
      </c>
      <c r="H63">
        <v>24</v>
      </c>
      <c r="I63">
        <v>24</v>
      </c>
      <c r="J63">
        <v>25</v>
      </c>
      <c r="K63">
        <v>25</v>
      </c>
      <c r="L63">
        <v>26</v>
      </c>
      <c r="M63">
        <v>27</v>
      </c>
      <c r="N63">
        <v>27</v>
      </c>
      <c r="O63">
        <v>28</v>
      </c>
      <c r="P63">
        <v>29</v>
      </c>
      <c r="Q63">
        <v>29</v>
      </c>
      <c r="R63">
        <v>30</v>
      </c>
      <c r="S63">
        <v>31</v>
      </c>
      <c r="T63">
        <v>31</v>
      </c>
      <c r="U63">
        <v>32</v>
      </c>
      <c r="V63">
        <v>32</v>
      </c>
      <c r="W63">
        <v>33</v>
      </c>
      <c r="X63">
        <v>34</v>
      </c>
      <c r="Y63">
        <v>34</v>
      </c>
      <c r="Z63">
        <v>35</v>
      </c>
      <c r="AA63">
        <v>36</v>
      </c>
      <c r="AB63">
        <v>36</v>
      </c>
      <c r="AC63">
        <v>37</v>
      </c>
      <c r="AD63">
        <v>38</v>
      </c>
      <c r="AE63">
        <v>38</v>
      </c>
      <c r="AF63">
        <v>39</v>
      </c>
      <c r="AG63">
        <v>39</v>
      </c>
      <c r="AH63">
        <v>40</v>
      </c>
      <c r="AI63">
        <v>41</v>
      </c>
      <c r="AJ63">
        <v>41</v>
      </c>
    </row>
    <row r="64" spans="1:36" x14ac:dyDescent="0.25">
      <c r="A64" s="24"/>
      <c r="B64">
        <v>150</v>
      </c>
      <c r="C64">
        <v>20</v>
      </c>
      <c r="D64">
        <v>21</v>
      </c>
      <c r="E64">
        <v>22</v>
      </c>
      <c r="F64">
        <v>22</v>
      </c>
      <c r="G64">
        <v>23</v>
      </c>
      <c r="H64">
        <v>24</v>
      </c>
      <c r="I64">
        <v>24</v>
      </c>
      <c r="J64">
        <v>25</v>
      </c>
      <c r="K64">
        <v>25</v>
      </c>
      <c r="L64">
        <v>26</v>
      </c>
      <c r="M64">
        <v>27</v>
      </c>
      <c r="N64">
        <v>27</v>
      </c>
      <c r="O64">
        <v>28</v>
      </c>
      <c r="P64">
        <v>29</v>
      </c>
      <c r="Q64">
        <v>29</v>
      </c>
      <c r="R64">
        <v>30</v>
      </c>
      <c r="S64">
        <v>31</v>
      </c>
      <c r="T64">
        <v>31</v>
      </c>
      <c r="U64">
        <v>32</v>
      </c>
      <c r="V64">
        <v>32</v>
      </c>
      <c r="W64">
        <v>33</v>
      </c>
      <c r="X64">
        <v>34</v>
      </c>
      <c r="Y64">
        <v>34</v>
      </c>
      <c r="Z64">
        <v>35</v>
      </c>
      <c r="AA64">
        <v>36</v>
      </c>
      <c r="AB64">
        <v>36</v>
      </c>
      <c r="AC64">
        <v>37</v>
      </c>
      <c r="AD64">
        <v>37</v>
      </c>
      <c r="AE64">
        <v>38</v>
      </c>
      <c r="AF64">
        <v>39</v>
      </c>
      <c r="AG64">
        <v>39</v>
      </c>
      <c r="AH64">
        <v>40</v>
      </c>
      <c r="AI64">
        <v>41</v>
      </c>
      <c r="AJ64">
        <v>41</v>
      </c>
    </row>
    <row r="65" spans="1:36" x14ac:dyDescent="0.25">
      <c r="A65" s="24"/>
      <c r="B65">
        <v>151</v>
      </c>
      <c r="C65">
        <v>20</v>
      </c>
      <c r="D65">
        <v>21</v>
      </c>
      <c r="E65">
        <v>22</v>
      </c>
      <c r="F65">
        <v>22</v>
      </c>
      <c r="G65">
        <v>23</v>
      </c>
      <c r="H65">
        <v>24</v>
      </c>
      <c r="I65">
        <v>24</v>
      </c>
      <c r="J65">
        <v>25</v>
      </c>
      <c r="K65">
        <v>25</v>
      </c>
      <c r="L65">
        <v>26</v>
      </c>
      <c r="M65">
        <v>27</v>
      </c>
      <c r="N65">
        <v>27</v>
      </c>
      <c r="O65">
        <v>28</v>
      </c>
      <c r="P65">
        <v>29</v>
      </c>
      <c r="Q65">
        <v>29</v>
      </c>
      <c r="R65">
        <v>30</v>
      </c>
      <c r="S65">
        <v>30</v>
      </c>
      <c r="T65">
        <v>31</v>
      </c>
      <c r="U65">
        <v>32</v>
      </c>
      <c r="V65">
        <v>32</v>
      </c>
      <c r="W65">
        <v>33</v>
      </c>
      <c r="X65">
        <v>34</v>
      </c>
      <c r="Y65">
        <v>34</v>
      </c>
      <c r="Z65">
        <v>35</v>
      </c>
      <c r="AA65">
        <v>36</v>
      </c>
      <c r="AB65">
        <v>36</v>
      </c>
      <c r="AC65">
        <v>37</v>
      </c>
      <c r="AD65">
        <v>37</v>
      </c>
      <c r="AE65">
        <v>38</v>
      </c>
      <c r="AF65">
        <v>39</v>
      </c>
      <c r="AG65">
        <v>39</v>
      </c>
      <c r="AH65">
        <v>40</v>
      </c>
      <c r="AI65">
        <v>41</v>
      </c>
      <c r="AJ65">
        <v>41</v>
      </c>
    </row>
    <row r="66" spans="1:36" x14ac:dyDescent="0.25">
      <c r="A66" s="24"/>
      <c r="B66">
        <v>152</v>
      </c>
      <c r="C66">
        <v>20</v>
      </c>
      <c r="D66">
        <v>21</v>
      </c>
      <c r="E66">
        <v>22</v>
      </c>
      <c r="F66">
        <v>22</v>
      </c>
      <c r="G66">
        <v>23</v>
      </c>
      <c r="H66">
        <v>23</v>
      </c>
      <c r="I66">
        <v>24</v>
      </c>
      <c r="J66">
        <v>25</v>
      </c>
      <c r="K66">
        <v>25</v>
      </c>
      <c r="L66">
        <v>26</v>
      </c>
      <c r="M66">
        <v>27</v>
      </c>
      <c r="N66">
        <v>27</v>
      </c>
      <c r="O66">
        <v>28</v>
      </c>
      <c r="P66">
        <v>29</v>
      </c>
      <c r="Q66">
        <v>29</v>
      </c>
      <c r="R66">
        <v>30</v>
      </c>
      <c r="S66">
        <v>30</v>
      </c>
      <c r="T66">
        <v>31</v>
      </c>
      <c r="U66">
        <v>32</v>
      </c>
      <c r="V66">
        <v>32</v>
      </c>
      <c r="W66">
        <v>33</v>
      </c>
      <c r="X66">
        <v>34</v>
      </c>
      <c r="Y66">
        <v>34</v>
      </c>
      <c r="Z66">
        <v>35</v>
      </c>
      <c r="AA66">
        <v>36</v>
      </c>
      <c r="AB66">
        <v>36</v>
      </c>
      <c r="AC66">
        <v>37</v>
      </c>
      <c r="AD66">
        <v>37</v>
      </c>
      <c r="AE66">
        <v>38</v>
      </c>
      <c r="AF66">
        <v>39</v>
      </c>
      <c r="AG66">
        <v>39</v>
      </c>
      <c r="AH66">
        <v>40</v>
      </c>
      <c r="AI66">
        <v>41</v>
      </c>
      <c r="AJ66">
        <v>41</v>
      </c>
    </row>
    <row r="67" spans="1:36" x14ac:dyDescent="0.25">
      <c r="A67" s="24"/>
      <c r="B67">
        <v>153</v>
      </c>
      <c r="C67">
        <v>20</v>
      </c>
      <c r="D67">
        <v>21</v>
      </c>
      <c r="E67">
        <v>22</v>
      </c>
      <c r="F67">
        <v>22</v>
      </c>
      <c r="G67">
        <v>23</v>
      </c>
      <c r="H67">
        <v>23</v>
      </c>
      <c r="I67">
        <v>24</v>
      </c>
      <c r="J67">
        <v>25</v>
      </c>
      <c r="K67">
        <v>25</v>
      </c>
      <c r="L67">
        <v>26</v>
      </c>
      <c r="M67">
        <v>27</v>
      </c>
      <c r="N67">
        <v>27</v>
      </c>
      <c r="O67">
        <v>28</v>
      </c>
      <c r="P67">
        <v>29</v>
      </c>
      <c r="Q67">
        <v>29</v>
      </c>
      <c r="R67">
        <v>30</v>
      </c>
      <c r="S67">
        <v>30</v>
      </c>
      <c r="T67">
        <v>31</v>
      </c>
      <c r="U67">
        <v>32</v>
      </c>
      <c r="V67">
        <v>32</v>
      </c>
      <c r="W67">
        <v>33</v>
      </c>
      <c r="X67">
        <v>34</v>
      </c>
      <c r="Y67">
        <v>34</v>
      </c>
      <c r="Z67">
        <v>35</v>
      </c>
      <c r="AA67">
        <v>36</v>
      </c>
      <c r="AB67">
        <v>36</v>
      </c>
      <c r="AC67">
        <v>37</v>
      </c>
      <c r="AD67">
        <v>37</v>
      </c>
      <c r="AE67">
        <v>38</v>
      </c>
      <c r="AF67">
        <v>39</v>
      </c>
      <c r="AG67">
        <v>39</v>
      </c>
      <c r="AH67">
        <v>40</v>
      </c>
      <c r="AI67">
        <v>41</v>
      </c>
      <c r="AJ67">
        <v>41</v>
      </c>
    </row>
    <row r="68" spans="1:36" x14ac:dyDescent="0.25">
      <c r="A68" s="24"/>
      <c r="B68">
        <v>154</v>
      </c>
      <c r="C68">
        <v>20</v>
      </c>
      <c r="D68">
        <v>21</v>
      </c>
      <c r="E68">
        <v>22</v>
      </c>
      <c r="F68">
        <v>22</v>
      </c>
      <c r="G68">
        <v>23</v>
      </c>
      <c r="H68">
        <v>23</v>
      </c>
      <c r="I68">
        <v>24</v>
      </c>
      <c r="J68">
        <v>25</v>
      </c>
      <c r="K68">
        <v>25</v>
      </c>
      <c r="L68">
        <v>26</v>
      </c>
      <c r="M68">
        <v>27</v>
      </c>
      <c r="N68">
        <v>27</v>
      </c>
      <c r="O68">
        <v>28</v>
      </c>
      <c r="P68">
        <v>29</v>
      </c>
      <c r="Q68">
        <v>29</v>
      </c>
      <c r="R68">
        <v>30</v>
      </c>
      <c r="S68">
        <v>30</v>
      </c>
      <c r="T68">
        <v>31</v>
      </c>
      <c r="U68">
        <v>32</v>
      </c>
      <c r="V68">
        <v>32</v>
      </c>
      <c r="W68">
        <v>33</v>
      </c>
      <c r="X68">
        <v>34</v>
      </c>
      <c r="Y68">
        <v>34</v>
      </c>
      <c r="Z68">
        <v>35</v>
      </c>
      <c r="AA68">
        <v>36</v>
      </c>
      <c r="AB68">
        <v>36</v>
      </c>
      <c r="AC68">
        <v>37</v>
      </c>
      <c r="AD68">
        <v>37</v>
      </c>
      <c r="AE68">
        <v>38</v>
      </c>
      <c r="AF68">
        <v>39</v>
      </c>
      <c r="AG68">
        <v>39</v>
      </c>
      <c r="AH68">
        <v>40</v>
      </c>
      <c r="AI68">
        <v>41</v>
      </c>
      <c r="AJ68">
        <v>41</v>
      </c>
    </row>
    <row r="69" spans="1:36" x14ac:dyDescent="0.25">
      <c r="A69" s="24"/>
      <c r="B69">
        <v>155</v>
      </c>
      <c r="C69">
        <v>20</v>
      </c>
      <c r="D69">
        <v>21</v>
      </c>
      <c r="E69">
        <v>22</v>
      </c>
      <c r="F69">
        <v>22</v>
      </c>
      <c r="G69">
        <v>23</v>
      </c>
      <c r="H69">
        <v>23</v>
      </c>
      <c r="I69">
        <v>24</v>
      </c>
      <c r="J69">
        <v>25</v>
      </c>
      <c r="K69">
        <v>25</v>
      </c>
      <c r="L69">
        <v>26</v>
      </c>
      <c r="M69">
        <v>27</v>
      </c>
      <c r="N69">
        <v>27</v>
      </c>
      <c r="O69">
        <v>28</v>
      </c>
      <c r="P69">
        <v>29</v>
      </c>
      <c r="Q69">
        <v>29</v>
      </c>
      <c r="R69">
        <v>30</v>
      </c>
      <c r="S69">
        <v>30</v>
      </c>
      <c r="T69">
        <v>31</v>
      </c>
      <c r="U69">
        <v>32</v>
      </c>
      <c r="V69">
        <v>32</v>
      </c>
      <c r="W69">
        <v>33</v>
      </c>
      <c r="X69">
        <v>34</v>
      </c>
      <c r="Y69">
        <v>34</v>
      </c>
      <c r="Z69">
        <v>35</v>
      </c>
      <c r="AA69">
        <v>36</v>
      </c>
      <c r="AB69">
        <v>36</v>
      </c>
      <c r="AC69">
        <v>37</v>
      </c>
      <c r="AD69">
        <v>37</v>
      </c>
      <c r="AE69">
        <v>38</v>
      </c>
      <c r="AF69">
        <v>39</v>
      </c>
      <c r="AG69">
        <v>39</v>
      </c>
      <c r="AH69">
        <v>40</v>
      </c>
      <c r="AI69">
        <v>41</v>
      </c>
      <c r="AJ69">
        <v>41</v>
      </c>
    </row>
    <row r="70" spans="1:36" x14ac:dyDescent="0.25">
      <c r="A70" s="24"/>
      <c r="B70">
        <v>156</v>
      </c>
      <c r="C70">
        <v>20</v>
      </c>
      <c r="D70">
        <v>21</v>
      </c>
      <c r="E70">
        <v>22</v>
      </c>
      <c r="F70">
        <v>22</v>
      </c>
      <c r="G70">
        <v>23</v>
      </c>
      <c r="H70">
        <v>23</v>
      </c>
      <c r="I70">
        <v>24</v>
      </c>
      <c r="J70">
        <v>25</v>
      </c>
      <c r="K70">
        <v>25</v>
      </c>
      <c r="L70">
        <v>26</v>
      </c>
      <c r="M70">
        <v>27</v>
      </c>
      <c r="N70">
        <v>27</v>
      </c>
      <c r="O70">
        <v>28</v>
      </c>
      <c r="P70">
        <v>29</v>
      </c>
      <c r="Q70">
        <v>29</v>
      </c>
      <c r="R70">
        <v>30</v>
      </c>
      <c r="S70">
        <v>30</v>
      </c>
      <c r="T70">
        <v>31</v>
      </c>
      <c r="U70">
        <v>32</v>
      </c>
      <c r="V70">
        <v>32</v>
      </c>
      <c r="W70">
        <v>33</v>
      </c>
      <c r="X70">
        <v>34</v>
      </c>
      <c r="Y70">
        <v>34</v>
      </c>
      <c r="Z70">
        <v>35</v>
      </c>
      <c r="AA70">
        <v>36</v>
      </c>
      <c r="AB70">
        <v>36</v>
      </c>
      <c r="AC70">
        <v>37</v>
      </c>
      <c r="AD70">
        <v>37</v>
      </c>
      <c r="AE70">
        <v>38</v>
      </c>
      <c r="AF70">
        <v>39</v>
      </c>
      <c r="AG70">
        <v>39</v>
      </c>
      <c r="AH70">
        <v>40</v>
      </c>
      <c r="AI70">
        <v>41</v>
      </c>
      <c r="AJ70">
        <v>41</v>
      </c>
    </row>
    <row r="71" spans="1:36" x14ac:dyDescent="0.25">
      <c r="A71" s="24"/>
      <c r="B71">
        <v>157</v>
      </c>
      <c r="C71">
        <v>20</v>
      </c>
      <c r="D71">
        <v>21</v>
      </c>
      <c r="E71">
        <v>22</v>
      </c>
      <c r="F71">
        <v>22</v>
      </c>
      <c r="G71">
        <v>23</v>
      </c>
      <c r="H71">
        <v>23</v>
      </c>
      <c r="I71">
        <v>24</v>
      </c>
      <c r="J71">
        <v>25</v>
      </c>
      <c r="K71">
        <v>25</v>
      </c>
      <c r="L71">
        <v>26</v>
      </c>
      <c r="M71">
        <v>27</v>
      </c>
      <c r="N71">
        <v>27</v>
      </c>
      <c r="O71">
        <v>28</v>
      </c>
      <c r="P71">
        <v>28</v>
      </c>
      <c r="Q71">
        <v>29</v>
      </c>
      <c r="R71">
        <v>30</v>
      </c>
      <c r="S71">
        <v>30</v>
      </c>
      <c r="T71">
        <v>31</v>
      </c>
      <c r="U71">
        <v>32</v>
      </c>
      <c r="V71">
        <v>32</v>
      </c>
      <c r="W71">
        <v>33</v>
      </c>
      <c r="X71">
        <v>34</v>
      </c>
      <c r="Y71">
        <v>34</v>
      </c>
      <c r="Z71">
        <v>35</v>
      </c>
      <c r="AA71">
        <v>35</v>
      </c>
      <c r="AB71">
        <v>36</v>
      </c>
      <c r="AC71">
        <v>37</v>
      </c>
      <c r="AD71">
        <v>37</v>
      </c>
      <c r="AE71">
        <v>38</v>
      </c>
      <c r="AF71">
        <v>39</v>
      </c>
      <c r="AG71">
        <v>39</v>
      </c>
      <c r="AH71">
        <v>40</v>
      </c>
      <c r="AI71">
        <v>41</v>
      </c>
      <c r="AJ71">
        <v>41</v>
      </c>
    </row>
    <row r="72" spans="1:36" x14ac:dyDescent="0.25">
      <c r="A72" s="24"/>
      <c r="B72">
        <v>158</v>
      </c>
      <c r="C72">
        <v>20</v>
      </c>
      <c r="D72">
        <v>21</v>
      </c>
      <c r="E72">
        <v>22</v>
      </c>
      <c r="F72">
        <v>22</v>
      </c>
      <c r="G72">
        <v>23</v>
      </c>
      <c r="H72">
        <v>23</v>
      </c>
      <c r="I72">
        <v>24</v>
      </c>
      <c r="J72">
        <v>25</v>
      </c>
      <c r="K72">
        <v>25</v>
      </c>
      <c r="L72">
        <v>26</v>
      </c>
      <c r="M72">
        <v>27</v>
      </c>
      <c r="N72">
        <v>27</v>
      </c>
      <c r="O72">
        <v>28</v>
      </c>
      <c r="P72">
        <v>28</v>
      </c>
      <c r="Q72">
        <v>29</v>
      </c>
      <c r="R72">
        <v>30</v>
      </c>
      <c r="S72">
        <v>30</v>
      </c>
      <c r="T72">
        <v>31</v>
      </c>
      <c r="U72">
        <v>32</v>
      </c>
      <c r="V72">
        <v>32</v>
      </c>
      <c r="W72">
        <v>33</v>
      </c>
      <c r="X72">
        <v>34</v>
      </c>
      <c r="Y72">
        <v>34</v>
      </c>
      <c r="Z72">
        <v>35</v>
      </c>
      <c r="AA72">
        <v>35</v>
      </c>
      <c r="AB72">
        <v>36</v>
      </c>
      <c r="AC72">
        <v>37</v>
      </c>
      <c r="AD72">
        <v>37</v>
      </c>
      <c r="AE72">
        <v>38</v>
      </c>
      <c r="AF72">
        <v>39</v>
      </c>
      <c r="AG72">
        <v>39</v>
      </c>
      <c r="AH72">
        <v>40</v>
      </c>
      <c r="AI72">
        <v>41</v>
      </c>
      <c r="AJ72">
        <v>41</v>
      </c>
    </row>
    <row r="73" spans="1:36" x14ac:dyDescent="0.25">
      <c r="A73" s="24"/>
      <c r="B73">
        <v>159</v>
      </c>
      <c r="C73">
        <v>20</v>
      </c>
      <c r="D73">
        <v>21</v>
      </c>
      <c r="E73">
        <v>21</v>
      </c>
      <c r="F73">
        <v>22</v>
      </c>
      <c r="G73">
        <v>23</v>
      </c>
      <c r="H73">
        <v>23</v>
      </c>
      <c r="I73">
        <v>24</v>
      </c>
      <c r="J73">
        <v>25</v>
      </c>
      <c r="K73">
        <v>25</v>
      </c>
      <c r="L73">
        <v>26</v>
      </c>
      <c r="M73">
        <v>27</v>
      </c>
      <c r="N73">
        <v>27</v>
      </c>
      <c r="O73">
        <v>28</v>
      </c>
      <c r="P73">
        <v>28</v>
      </c>
      <c r="Q73">
        <v>29</v>
      </c>
      <c r="R73">
        <v>30</v>
      </c>
      <c r="S73">
        <v>30</v>
      </c>
      <c r="T73">
        <v>31</v>
      </c>
      <c r="U73">
        <v>32</v>
      </c>
      <c r="V73">
        <v>32</v>
      </c>
      <c r="W73">
        <v>33</v>
      </c>
      <c r="X73">
        <v>34</v>
      </c>
      <c r="Y73">
        <v>34</v>
      </c>
      <c r="Z73">
        <v>35</v>
      </c>
      <c r="AA73">
        <v>35</v>
      </c>
      <c r="AB73">
        <v>36</v>
      </c>
      <c r="AC73">
        <v>37</v>
      </c>
      <c r="AD73">
        <v>37</v>
      </c>
      <c r="AE73">
        <v>38</v>
      </c>
      <c r="AF73">
        <v>39</v>
      </c>
      <c r="AG73">
        <v>39</v>
      </c>
      <c r="AH73">
        <v>40</v>
      </c>
      <c r="AI73">
        <v>41</v>
      </c>
      <c r="AJ73">
        <v>41</v>
      </c>
    </row>
    <row r="74" spans="1:36" x14ac:dyDescent="0.25">
      <c r="A74" s="24"/>
      <c r="B74">
        <v>160</v>
      </c>
      <c r="C74">
        <v>20</v>
      </c>
      <c r="D74">
        <v>21</v>
      </c>
      <c r="E74">
        <v>21</v>
      </c>
      <c r="F74">
        <v>22</v>
      </c>
      <c r="G74">
        <v>23</v>
      </c>
      <c r="H74">
        <v>23</v>
      </c>
      <c r="I74">
        <v>24</v>
      </c>
      <c r="J74">
        <v>25</v>
      </c>
      <c r="K74">
        <v>25</v>
      </c>
      <c r="L74">
        <v>26</v>
      </c>
      <c r="M74">
        <v>27</v>
      </c>
      <c r="N74">
        <v>27</v>
      </c>
      <c r="O74">
        <v>28</v>
      </c>
      <c r="P74">
        <v>28</v>
      </c>
      <c r="Q74">
        <v>29</v>
      </c>
      <c r="R74">
        <v>30</v>
      </c>
      <c r="S74">
        <v>30</v>
      </c>
      <c r="T74">
        <v>31</v>
      </c>
      <c r="U74">
        <v>32</v>
      </c>
      <c r="V74">
        <v>32</v>
      </c>
      <c r="W74">
        <v>33</v>
      </c>
      <c r="X74">
        <v>34</v>
      </c>
      <c r="Y74">
        <v>34</v>
      </c>
      <c r="Z74">
        <v>35</v>
      </c>
      <c r="AA74">
        <v>35</v>
      </c>
      <c r="AB74">
        <v>36</v>
      </c>
      <c r="AC74">
        <v>37</v>
      </c>
      <c r="AD74">
        <v>37</v>
      </c>
      <c r="AE74">
        <v>38</v>
      </c>
      <c r="AF74">
        <v>39</v>
      </c>
      <c r="AG74">
        <v>39</v>
      </c>
      <c r="AH74">
        <v>40</v>
      </c>
      <c r="AI74">
        <v>41</v>
      </c>
      <c r="AJ74">
        <v>41</v>
      </c>
    </row>
    <row r="75" spans="1:36" x14ac:dyDescent="0.25">
      <c r="A75" s="24"/>
      <c r="B75">
        <v>161</v>
      </c>
      <c r="C75">
        <v>20</v>
      </c>
      <c r="D75">
        <v>21</v>
      </c>
      <c r="E75">
        <v>21</v>
      </c>
      <c r="F75">
        <v>22</v>
      </c>
      <c r="G75">
        <v>23</v>
      </c>
      <c r="H75">
        <v>23</v>
      </c>
      <c r="I75">
        <v>24</v>
      </c>
      <c r="J75">
        <v>25</v>
      </c>
      <c r="K75">
        <v>25</v>
      </c>
      <c r="L75">
        <v>26</v>
      </c>
      <c r="M75">
        <v>27</v>
      </c>
      <c r="N75">
        <v>27</v>
      </c>
      <c r="O75">
        <v>28</v>
      </c>
      <c r="P75">
        <v>28</v>
      </c>
      <c r="Q75">
        <v>29</v>
      </c>
      <c r="R75">
        <v>30</v>
      </c>
      <c r="S75">
        <v>30</v>
      </c>
      <c r="T75">
        <v>31</v>
      </c>
      <c r="U75">
        <v>32</v>
      </c>
      <c r="V75">
        <v>32</v>
      </c>
      <c r="W75">
        <v>33</v>
      </c>
      <c r="X75">
        <v>34</v>
      </c>
      <c r="Y75">
        <v>34</v>
      </c>
      <c r="Z75">
        <v>35</v>
      </c>
      <c r="AA75">
        <v>35</v>
      </c>
      <c r="AB75">
        <v>36</v>
      </c>
      <c r="AC75">
        <v>37</v>
      </c>
      <c r="AD75">
        <v>37</v>
      </c>
      <c r="AE75">
        <v>38</v>
      </c>
      <c r="AF75">
        <v>39</v>
      </c>
      <c r="AG75">
        <v>39</v>
      </c>
      <c r="AH75">
        <v>40</v>
      </c>
      <c r="AI75">
        <v>41</v>
      </c>
      <c r="AJ75">
        <v>41</v>
      </c>
    </row>
    <row r="76" spans="1:36" x14ac:dyDescent="0.25">
      <c r="A76" s="24"/>
      <c r="B76">
        <v>162</v>
      </c>
      <c r="C76">
        <v>20</v>
      </c>
      <c r="D76">
        <v>21</v>
      </c>
      <c r="E76">
        <v>21</v>
      </c>
      <c r="F76">
        <v>22</v>
      </c>
      <c r="G76">
        <v>23</v>
      </c>
      <c r="H76">
        <v>23</v>
      </c>
      <c r="I76">
        <v>24</v>
      </c>
      <c r="J76">
        <v>25</v>
      </c>
      <c r="K76">
        <v>25</v>
      </c>
      <c r="L76">
        <v>26</v>
      </c>
      <c r="M76">
        <v>27</v>
      </c>
      <c r="N76">
        <v>27</v>
      </c>
      <c r="O76">
        <v>28</v>
      </c>
      <c r="P76">
        <v>28</v>
      </c>
      <c r="Q76">
        <v>29</v>
      </c>
      <c r="R76">
        <v>30</v>
      </c>
      <c r="S76">
        <v>30</v>
      </c>
      <c r="T76">
        <v>31</v>
      </c>
      <c r="U76">
        <v>32</v>
      </c>
      <c r="V76">
        <v>32</v>
      </c>
      <c r="W76">
        <v>33</v>
      </c>
      <c r="X76">
        <v>34</v>
      </c>
      <c r="Y76">
        <v>34</v>
      </c>
      <c r="Z76">
        <v>35</v>
      </c>
      <c r="AA76">
        <v>35</v>
      </c>
      <c r="AB76">
        <v>36</v>
      </c>
      <c r="AC76">
        <v>37</v>
      </c>
      <c r="AD76">
        <v>37</v>
      </c>
      <c r="AE76">
        <v>38</v>
      </c>
      <c r="AF76">
        <v>39</v>
      </c>
      <c r="AG76">
        <v>39</v>
      </c>
      <c r="AH76">
        <v>40</v>
      </c>
      <c r="AI76">
        <v>40</v>
      </c>
      <c r="AJ76">
        <v>41</v>
      </c>
    </row>
    <row r="77" spans="1:36" x14ac:dyDescent="0.25">
      <c r="A77" s="24"/>
      <c r="B77">
        <v>163</v>
      </c>
      <c r="C77">
        <v>20</v>
      </c>
      <c r="D77">
        <v>21</v>
      </c>
      <c r="E77">
        <v>21</v>
      </c>
      <c r="F77">
        <v>22</v>
      </c>
      <c r="G77">
        <v>23</v>
      </c>
      <c r="H77">
        <v>23</v>
      </c>
      <c r="I77">
        <v>24</v>
      </c>
      <c r="J77">
        <v>25</v>
      </c>
      <c r="K77">
        <v>25</v>
      </c>
      <c r="L77">
        <v>26</v>
      </c>
      <c r="M77">
        <v>27</v>
      </c>
      <c r="N77">
        <v>27</v>
      </c>
      <c r="O77">
        <v>28</v>
      </c>
      <c r="P77">
        <v>28</v>
      </c>
      <c r="Q77">
        <v>29</v>
      </c>
      <c r="R77">
        <v>30</v>
      </c>
      <c r="S77">
        <v>30</v>
      </c>
      <c r="T77">
        <v>31</v>
      </c>
      <c r="U77">
        <v>32</v>
      </c>
      <c r="V77">
        <v>32</v>
      </c>
      <c r="W77">
        <v>33</v>
      </c>
      <c r="X77">
        <v>33</v>
      </c>
      <c r="Y77">
        <v>34</v>
      </c>
      <c r="Z77">
        <v>35</v>
      </c>
      <c r="AA77">
        <v>35</v>
      </c>
      <c r="AB77">
        <v>36</v>
      </c>
      <c r="AC77">
        <v>37</v>
      </c>
      <c r="AD77">
        <v>37</v>
      </c>
      <c r="AE77">
        <v>38</v>
      </c>
      <c r="AF77">
        <v>39</v>
      </c>
      <c r="AG77">
        <v>39</v>
      </c>
      <c r="AH77">
        <v>40</v>
      </c>
      <c r="AI77">
        <v>40</v>
      </c>
      <c r="AJ77">
        <v>41</v>
      </c>
    </row>
    <row r="78" spans="1:36" x14ac:dyDescent="0.25">
      <c r="A78" s="24"/>
      <c r="B78">
        <v>164</v>
      </c>
      <c r="C78">
        <v>20</v>
      </c>
      <c r="D78">
        <v>21</v>
      </c>
      <c r="E78">
        <v>21</v>
      </c>
      <c r="F78">
        <v>22</v>
      </c>
      <c r="G78">
        <v>23</v>
      </c>
      <c r="H78">
        <v>23</v>
      </c>
      <c r="I78">
        <v>24</v>
      </c>
      <c r="J78">
        <v>25</v>
      </c>
      <c r="K78">
        <v>25</v>
      </c>
      <c r="L78">
        <v>26</v>
      </c>
      <c r="M78">
        <v>26</v>
      </c>
      <c r="N78">
        <v>27</v>
      </c>
      <c r="O78">
        <v>28</v>
      </c>
      <c r="P78">
        <v>28</v>
      </c>
      <c r="Q78">
        <v>29</v>
      </c>
      <c r="R78">
        <v>30</v>
      </c>
      <c r="S78">
        <v>30</v>
      </c>
      <c r="T78">
        <v>31</v>
      </c>
      <c r="U78">
        <v>32</v>
      </c>
      <c r="V78">
        <v>32</v>
      </c>
      <c r="W78">
        <v>33</v>
      </c>
      <c r="X78">
        <v>33</v>
      </c>
      <c r="Y78">
        <v>34</v>
      </c>
      <c r="Z78">
        <v>35</v>
      </c>
      <c r="AA78">
        <v>35</v>
      </c>
      <c r="AB78">
        <v>36</v>
      </c>
      <c r="AC78">
        <v>37</v>
      </c>
      <c r="AD78">
        <v>37</v>
      </c>
      <c r="AE78">
        <v>38</v>
      </c>
      <c r="AF78">
        <v>39</v>
      </c>
      <c r="AG78">
        <v>39</v>
      </c>
      <c r="AH78">
        <v>40</v>
      </c>
      <c r="AI78">
        <v>40</v>
      </c>
      <c r="AJ78">
        <v>41</v>
      </c>
    </row>
    <row r="79" spans="1:36" x14ac:dyDescent="0.25">
      <c r="A79" s="24"/>
      <c r="B79">
        <v>165</v>
      </c>
      <c r="C79">
        <v>20</v>
      </c>
      <c r="D79">
        <v>21</v>
      </c>
      <c r="E79">
        <v>21</v>
      </c>
      <c r="F79">
        <v>22</v>
      </c>
      <c r="G79">
        <v>23</v>
      </c>
      <c r="H79">
        <v>23</v>
      </c>
      <c r="I79">
        <v>24</v>
      </c>
      <c r="J79">
        <v>25</v>
      </c>
      <c r="K79">
        <v>25</v>
      </c>
      <c r="L79">
        <v>26</v>
      </c>
      <c r="M79">
        <v>26</v>
      </c>
      <c r="N79">
        <v>27</v>
      </c>
      <c r="O79">
        <v>28</v>
      </c>
      <c r="P79">
        <v>28</v>
      </c>
      <c r="Q79">
        <v>29</v>
      </c>
      <c r="R79">
        <v>30</v>
      </c>
      <c r="S79">
        <v>30</v>
      </c>
      <c r="T79">
        <v>31</v>
      </c>
      <c r="U79">
        <v>32</v>
      </c>
      <c r="V79">
        <v>32</v>
      </c>
      <c r="W79">
        <v>33</v>
      </c>
      <c r="X79">
        <v>33</v>
      </c>
      <c r="Y79">
        <v>34</v>
      </c>
      <c r="Z79">
        <v>35</v>
      </c>
      <c r="AA79">
        <v>35</v>
      </c>
      <c r="AB79">
        <v>36</v>
      </c>
      <c r="AC79">
        <v>37</v>
      </c>
      <c r="AD79">
        <v>37</v>
      </c>
      <c r="AE79">
        <v>38</v>
      </c>
      <c r="AF79">
        <v>39</v>
      </c>
      <c r="AG79">
        <v>39</v>
      </c>
      <c r="AH79">
        <v>40</v>
      </c>
      <c r="AI79">
        <v>40</v>
      </c>
      <c r="AJ79">
        <v>41</v>
      </c>
    </row>
    <row r="80" spans="1:36" x14ac:dyDescent="0.25">
      <c r="A80" s="24"/>
      <c r="B80">
        <v>166</v>
      </c>
      <c r="C80">
        <v>20</v>
      </c>
      <c r="D80">
        <v>21</v>
      </c>
      <c r="E80">
        <v>21</v>
      </c>
      <c r="F80">
        <v>22</v>
      </c>
      <c r="G80">
        <v>23</v>
      </c>
      <c r="H80">
        <v>23</v>
      </c>
      <c r="I80">
        <v>24</v>
      </c>
      <c r="J80">
        <v>25</v>
      </c>
      <c r="K80">
        <v>25</v>
      </c>
      <c r="L80">
        <v>26</v>
      </c>
      <c r="M80">
        <v>26</v>
      </c>
      <c r="N80">
        <v>27</v>
      </c>
      <c r="O80">
        <v>28</v>
      </c>
      <c r="P80">
        <v>28</v>
      </c>
      <c r="Q80">
        <v>29</v>
      </c>
      <c r="R80">
        <v>30</v>
      </c>
      <c r="S80">
        <v>30</v>
      </c>
      <c r="T80">
        <v>31</v>
      </c>
      <c r="U80">
        <v>32</v>
      </c>
      <c r="V80">
        <v>32</v>
      </c>
      <c r="W80">
        <v>33</v>
      </c>
      <c r="X80">
        <v>33</v>
      </c>
      <c r="Y80">
        <v>34</v>
      </c>
      <c r="Z80">
        <v>35</v>
      </c>
      <c r="AA80">
        <v>35</v>
      </c>
      <c r="AB80">
        <v>36</v>
      </c>
      <c r="AC80">
        <v>37</v>
      </c>
      <c r="AD80">
        <v>37</v>
      </c>
      <c r="AE80">
        <v>38</v>
      </c>
      <c r="AF80">
        <v>39</v>
      </c>
      <c r="AG80">
        <v>39</v>
      </c>
      <c r="AH80">
        <v>40</v>
      </c>
      <c r="AI80">
        <v>40</v>
      </c>
      <c r="AJ80">
        <v>41</v>
      </c>
    </row>
    <row r="81" spans="1:36" x14ac:dyDescent="0.25">
      <c r="A81" s="24"/>
      <c r="B81">
        <v>167</v>
      </c>
      <c r="C81">
        <v>20</v>
      </c>
      <c r="D81">
        <v>21</v>
      </c>
      <c r="E81">
        <v>21</v>
      </c>
      <c r="F81">
        <v>22</v>
      </c>
      <c r="G81">
        <v>23</v>
      </c>
      <c r="H81">
        <v>23</v>
      </c>
      <c r="I81">
        <v>24</v>
      </c>
      <c r="J81">
        <v>25</v>
      </c>
      <c r="K81">
        <v>25</v>
      </c>
      <c r="L81">
        <v>26</v>
      </c>
      <c r="M81">
        <v>26</v>
      </c>
      <c r="N81">
        <v>27</v>
      </c>
      <c r="O81">
        <v>28</v>
      </c>
      <c r="P81">
        <v>28</v>
      </c>
      <c r="Q81">
        <v>29</v>
      </c>
      <c r="R81">
        <v>30</v>
      </c>
      <c r="S81">
        <v>30</v>
      </c>
      <c r="T81">
        <v>31</v>
      </c>
      <c r="U81">
        <v>32</v>
      </c>
      <c r="V81">
        <v>32</v>
      </c>
      <c r="W81">
        <v>33</v>
      </c>
      <c r="X81">
        <v>33</v>
      </c>
      <c r="Y81">
        <v>34</v>
      </c>
      <c r="Z81">
        <v>35</v>
      </c>
      <c r="AA81">
        <v>35</v>
      </c>
      <c r="AB81">
        <v>36</v>
      </c>
      <c r="AC81">
        <v>37</v>
      </c>
      <c r="AD81">
        <v>37</v>
      </c>
      <c r="AE81">
        <v>38</v>
      </c>
      <c r="AF81">
        <v>39</v>
      </c>
      <c r="AG81">
        <v>39</v>
      </c>
      <c r="AH81">
        <v>40</v>
      </c>
      <c r="AI81">
        <v>40</v>
      </c>
      <c r="AJ81">
        <v>41</v>
      </c>
    </row>
    <row r="82" spans="1:36" x14ac:dyDescent="0.25">
      <c r="A82" s="24"/>
      <c r="B82">
        <v>168</v>
      </c>
      <c r="C82">
        <v>20</v>
      </c>
      <c r="D82">
        <v>21</v>
      </c>
      <c r="E82">
        <v>21</v>
      </c>
      <c r="F82">
        <v>22</v>
      </c>
      <c r="G82">
        <v>23</v>
      </c>
      <c r="H82">
        <v>23</v>
      </c>
      <c r="I82">
        <v>24</v>
      </c>
      <c r="J82">
        <v>25</v>
      </c>
      <c r="K82">
        <v>25</v>
      </c>
      <c r="L82">
        <v>26</v>
      </c>
      <c r="M82">
        <v>26</v>
      </c>
      <c r="N82">
        <v>27</v>
      </c>
      <c r="O82">
        <v>28</v>
      </c>
      <c r="P82">
        <v>28</v>
      </c>
      <c r="Q82">
        <v>29</v>
      </c>
      <c r="R82">
        <v>30</v>
      </c>
      <c r="S82">
        <v>30</v>
      </c>
      <c r="T82">
        <v>31</v>
      </c>
      <c r="U82">
        <v>32</v>
      </c>
      <c r="V82">
        <v>32</v>
      </c>
      <c r="W82">
        <v>33</v>
      </c>
      <c r="X82">
        <v>33</v>
      </c>
      <c r="Y82">
        <v>34</v>
      </c>
      <c r="Z82">
        <v>35</v>
      </c>
      <c r="AA82">
        <v>35</v>
      </c>
      <c r="AB82">
        <v>36</v>
      </c>
      <c r="AC82">
        <v>37</v>
      </c>
      <c r="AD82">
        <v>37</v>
      </c>
      <c r="AE82">
        <v>38</v>
      </c>
      <c r="AF82">
        <v>38</v>
      </c>
      <c r="AG82">
        <v>39</v>
      </c>
      <c r="AH82">
        <v>40</v>
      </c>
      <c r="AI82">
        <v>40</v>
      </c>
      <c r="AJ82">
        <v>41</v>
      </c>
    </row>
    <row r="83" spans="1:36" x14ac:dyDescent="0.25">
      <c r="A83" s="24"/>
      <c r="B83">
        <v>169</v>
      </c>
      <c r="C83">
        <v>20</v>
      </c>
      <c r="D83">
        <v>21</v>
      </c>
      <c r="E83">
        <v>21</v>
      </c>
      <c r="F83">
        <v>22</v>
      </c>
      <c r="G83">
        <v>23</v>
      </c>
      <c r="H83">
        <v>23</v>
      </c>
      <c r="I83">
        <v>24</v>
      </c>
      <c r="J83">
        <v>25</v>
      </c>
      <c r="K83">
        <v>25</v>
      </c>
      <c r="L83">
        <v>26</v>
      </c>
      <c r="M83">
        <v>26</v>
      </c>
      <c r="N83">
        <v>27</v>
      </c>
      <c r="O83">
        <v>28</v>
      </c>
      <c r="P83">
        <v>28</v>
      </c>
      <c r="Q83">
        <v>29</v>
      </c>
      <c r="R83">
        <v>30</v>
      </c>
      <c r="S83">
        <v>30</v>
      </c>
      <c r="T83">
        <v>31</v>
      </c>
      <c r="U83">
        <v>31</v>
      </c>
      <c r="V83">
        <v>32</v>
      </c>
      <c r="W83">
        <v>33</v>
      </c>
      <c r="X83">
        <v>33</v>
      </c>
      <c r="Y83">
        <v>34</v>
      </c>
      <c r="Z83">
        <v>35</v>
      </c>
      <c r="AA83">
        <v>35</v>
      </c>
      <c r="AB83">
        <v>36</v>
      </c>
      <c r="AC83">
        <v>37</v>
      </c>
      <c r="AD83">
        <v>37</v>
      </c>
      <c r="AE83">
        <v>38</v>
      </c>
      <c r="AF83">
        <v>38</v>
      </c>
      <c r="AG83">
        <v>39</v>
      </c>
      <c r="AH83">
        <v>40</v>
      </c>
      <c r="AI83">
        <v>40</v>
      </c>
      <c r="AJ83">
        <v>41</v>
      </c>
    </row>
    <row r="84" spans="1:36" x14ac:dyDescent="0.25">
      <c r="A84" s="24"/>
      <c r="B84">
        <v>170</v>
      </c>
      <c r="C84">
        <v>20</v>
      </c>
      <c r="D84">
        <v>21</v>
      </c>
      <c r="E84">
        <v>21</v>
      </c>
      <c r="F84">
        <v>22</v>
      </c>
      <c r="G84">
        <v>23</v>
      </c>
      <c r="H84">
        <v>23</v>
      </c>
      <c r="I84">
        <v>24</v>
      </c>
      <c r="J84">
        <v>24</v>
      </c>
      <c r="K84">
        <v>25</v>
      </c>
      <c r="L84">
        <v>26</v>
      </c>
      <c r="M84">
        <v>26</v>
      </c>
      <c r="N84">
        <v>27</v>
      </c>
      <c r="O84">
        <v>28</v>
      </c>
      <c r="P84">
        <v>28</v>
      </c>
      <c r="Q84">
        <v>29</v>
      </c>
      <c r="R84">
        <v>30</v>
      </c>
      <c r="S84">
        <v>30</v>
      </c>
      <c r="T84">
        <v>31</v>
      </c>
      <c r="U84">
        <v>31</v>
      </c>
      <c r="V84">
        <v>32</v>
      </c>
      <c r="W84">
        <v>33</v>
      </c>
      <c r="X84">
        <v>33</v>
      </c>
      <c r="Y84">
        <v>34</v>
      </c>
      <c r="Z84">
        <v>35</v>
      </c>
      <c r="AA84">
        <v>35</v>
      </c>
      <c r="AB84">
        <v>36</v>
      </c>
      <c r="AC84">
        <v>37</v>
      </c>
      <c r="AD84">
        <v>37</v>
      </c>
      <c r="AE84">
        <v>38</v>
      </c>
      <c r="AF84">
        <v>38</v>
      </c>
      <c r="AG84">
        <v>39</v>
      </c>
      <c r="AH84">
        <v>40</v>
      </c>
      <c r="AI84">
        <v>40</v>
      </c>
      <c r="AJ84">
        <v>41</v>
      </c>
    </row>
    <row r="85" spans="1:36" x14ac:dyDescent="0.25">
      <c r="A85" s="24"/>
      <c r="B85">
        <v>171</v>
      </c>
      <c r="C85">
        <v>20</v>
      </c>
      <c r="D85">
        <v>21</v>
      </c>
      <c r="E85">
        <v>21</v>
      </c>
      <c r="F85">
        <v>22</v>
      </c>
      <c r="G85">
        <v>23</v>
      </c>
      <c r="H85">
        <v>23</v>
      </c>
      <c r="I85">
        <v>24</v>
      </c>
      <c r="J85">
        <v>24</v>
      </c>
      <c r="K85">
        <v>25</v>
      </c>
      <c r="L85">
        <v>26</v>
      </c>
      <c r="M85">
        <v>26</v>
      </c>
      <c r="N85">
        <v>27</v>
      </c>
      <c r="O85">
        <v>28</v>
      </c>
      <c r="P85">
        <v>28</v>
      </c>
      <c r="Q85">
        <v>29</v>
      </c>
      <c r="R85">
        <v>30</v>
      </c>
      <c r="S85">
        <v>30</v>
      </c>
      <c r="T85">
        <v>31</v>
      </c>
      <c r="U85">
        <v>31</v>
      </c>
      <c r="V85">
        <v>32</v>
      </c>
      <c r="W85">
        <v>33</v>
      </c>
      <c r="X85">
        <v>33</v>
      </c>
      <c r="Y85">
        <v>34</v>
      </c>
      <c r="Z85">
        <v>35</v>
      </c>
      <c r="AA85">
        <v>35</v>
      </c>
      <c r="AB85">
        <v>36</v>
      </c>
      <c r="AC85">
        <v>37</v>
      </c>
      <c r="AD85">
        <v>37</v>
      </c>
      <c r="AE85">
        <v>38</v>
      </c>
      <c r="AF85">
        <v>38</v>
      </c>
      <c r="AG85">
        <v>39</v>
      </c>
      <c r="AH85">
        <v>40</v>
      </c>
      <c r="AI85">
        <v>40</v>
      </c>
      <c r="AJ85">
        <v>41</v>
      </c>
    </row>
    <row r="86" spans="1:36" x14ac:dyDescent="0.25">
      <c r="A86" s="24"/>
      <c r="B86">
        <v>172</v>
      </c>
      <c r="C86">
        <v>20</v>
      </c>
      <c r="D86">
        <v>21</v>
      </c>
      <c r="E86">
        <v>21</v>
      </c>
      <c r="F86">
        <v>22</v>
      </c>
      <c r="G86">
        <v>23</v>
      </c>
      <c r="H86">
        <v>23</v>
      </c>
      <c r="I86">
        <v>24</v>
      </c>
      <c r="J86">
        <v>24</v>
      </c>
      <c r="K86">
        <v>25</v>
      </c>
      <c r="L86">
        <v>26</v>
      </c>
      <c r="M86">
        <v>26</v>
      </c>
      <c r="N86">
        <v>27</v>
      </c>
      <c r="O86">
        <v>28</v>
      </c>
      <c r="P86">
        <v>28</v>
      </c>
      <c r="Q86">
        <v>29</v>
      </c>
      <c r="R86">
        <v>30</v>
      </c>
      <c r="S86">
        <v>30</v>
      </c>
      <c r="T86">
        <v>31</v>
      </c>
      <c r="U86">
        <v>31</v>
      </c>
      <c r="V86">
        <v>32</v>
      </c>
      <c r="W86">
        <v>33</v>
      </c>
      <c r="X86">
        <v>33</v>
      </c>
      <c r="Y86">
        <v>34</v>
      </c>
      <c r="Z86">
        <v>35</v>
      </c>
      <c r="AA86">
        <v>35</v>
      </c>
      <c r="AB86">
        <v>36</v>
      </c>
      <c r="AC86">
        <v>37</v>
      </c>
      <c r="AD86">
        <v>37</v>
      </c>
      <c r="AE86">
        <v>38</v>
      </c>
      <c r="AF86">
        <v>38</v>
      </c>
      <c r="AG86">
        <v>39</v>
      </c>
      <c r="AH86">
        <v>40</v>
      </c>
      <c r="AI86">
        <v>40</v>
      </c>
      <c r="AJ86">
        <v>41</v>
      </c>
    </row>
    <row r="87" spans="1:36" x14ac:dyDescent="0.25">
      <c r="A87" s="24"/>
      <c r="B87">
        <v>173</v>
      </c>
      <c r="C87">
        <v>20</v>
      </c>
      <c r="D87">
        <v>21</v>
      </c>
      <c r="E87">
        <v>21</v>
      </c>
      <c r="F87">
        <v>22</v>
      </c>
      <c r="G87">
        <v>23</v>
      </c>
      <c r="H87">
        <v>23</v>
      </c>
      <c r="I87">
        <v>24</v>
      </c>
      <c r="J87">
        <v>24</v>
      </c>
      <c r="K87">
        <v>25</v>
      </c>
      <c r="L87">
        <v>26</v>
      </c>
      <c r="M87">
        <v>26</v>
      </c>
      <c r="N87">
        <v>27</v>
      </c>
      <c r="O87">
        <v>28</v>
      </c>
      <c r="P87">
        <v>28</v>
      </c>
      <c r="Q87">
        <v>29</v>
      </c>
      <c r="R87">
        <v>30</v>
      </c>
      <c r="S87">
        <v>30</v>
      </c>
      <c r="T87">
        <v>31</v>
      </c>
      <c r="U87">
        <v>31</v>
      </c>
      <c r="V87">
        <v>32</v>
      </c>
      <c r="W87">
        <v>33</v>
      </c>
      <c r="X87">
        <v>33</v>
      </c>
      <c r="Y87">
        <v>34</v>
      </c>
      <c r="Z87">
        <v>35</v>
      </c>
      <c r="AA87">
        <v>35</v>
      </c>
      <c r="AB87">
        <v>36</v>
      </c>
      <c r="AC87">
        <v>37</v>
      </c>
      <c r="AD87">
        <v>37</v>
      </c>
      <c r="AE87">
        <v>38</v>
      </c>
      <c r="AF87">
        <v>38</v>
      </c>
      <c r="AG87">
        <v>39</v>
      </c>
      <c r="AH87">
        <v>40</v>
      </c>
      <c r="AI87">
        <v>40</v>
      </c>
      <c r="AJ87">
        <v>41</v>
      </c>
    </row>
    <row r="88" spans="1:36" x14ac:dyDescent="0.25">
      <c r="A88" s="24"/>
      <c r="B88">
        <v>174</v>
      </c>
      <c r="C88">
        <v>20</v>
      </c>
      <c r="D88">
        <v>21</v>
      </c>
      <c r="E88">
        <v>21</v>
      </c>
      <c r="F88">
        <v>22</v>
      </c>
      <c r="G88">
        <v>23</v>
      </c>
      <c r="H88">
        <v>23</v>
      </c>
      <c r="I88">
        <v>24</v>
      </c>
      <c r="J88">
        <v>24</v>
      </c>
      <c r="K88">
        <v>25</v>
      </c>
      <c r="L88">
        <v>26</v>
      </c>
      <c r="M88">
        <v>26</v>
      </c>
      <c r="N88">
        <v>27</v>
      </c>
      <c r="O88">
        <v>28</v>
      </c>
      <c r="P88">
        <v>28</v>
      </c>
      <c r="Q88">
        <v>29</v>
      </c>
      <c r="R88">
        <v>30</v>
      </c>
      <c r="S88">
        <v>30</v>
      </c>
      <c r="T88">
        <v>31</v>
      </c>
      <c r="U88">
        <v>31</v>
      </c>
      <c r="V88">
        <v>32</v>
      </c>
      <c r="W88">
        <v>33</v>
      </c>
      <c r="X88">
        <v>33</v>
      </c>
      <c r="Y88">
        <v>34</v>
      </c>
      <c r="Z88">
        <v>35</v>
      </c>
      <c r="AA88">
        <v>35</v>
      </c>
      <c r="AB88">
        <v>36</v>
      </c>
      <c r="AC88">
        <v>36</v>
      </c>
      <c r="AD88">
        <v>37</v>
      </c>
      <c r="AE88">
        <v>38</v>
      </c>
      <c r="AF88">
        <v>38</v>
      </c>
      <c r="AG88">
        <v>39</v>
      </c>
      <c r="AH88">
        <v>40</v>
      </c>
      <c r="AI88">
        <v>40</v>
      </c>
      <c r="AJ88">
        <v>41</v>
      </c>
    </row>
    <row r="89" spans="1:36" x14ac:dyDescent="0.25">
      <c r="A89" s="24"/>
      <c r="B89">
        <v>175</v>
      </c>
      <c r="C89">
        <v>20</v>
      </c>
      <c r="D89">
        <v>21</v>
      </c>
      <c r="E89">
        <v>21</v>
      </c>
      <c r="F89">
        <v>22</v>
      </c>
      <c r="G89">
        <v>23</v>
      </c>
      <c r="H89">
        <v>23</v>
      </c>
      <c r="I89">
        <v>24</v>
      </c>
      <c r="J89">
        <v>24</v>
      </c>
      <c r="K89">
        <v>25</v>
      </c>
      <c r="L89">
        <v>26</v>
      </c>
      <c r="M89">
        <v>26</v>
      </c>
      <c r="N89">
        <v>27</v>
      </c>
      <c r="O89">
        <v>28</v>
      </c>
      <c r="P89">
        <v>28</v>
      </c>
      <c r="Q89">
        <v>29</v>
      </c>
      <c r="R89">
        <v>30</v>
      </c>
      <c r="S89">
        <v>30</v>
      </c>
      <c r="T89">
        <v>31</v>
      </c>
      <c r="U89">
        <v>31</v>
      </c>
      <c r="V89">
        <v>32</v>
      </c>
      <c r="W89">
        <v>33</v>
      </c>
      <c r="X89">
        <v>33</v>
      </c>
      <c r="Y89">
        <v>34</v>
      </c>
      <c r="Z89">
        <v>35</v>
      </c>
      <c r="AA89">
        <v>35</v>
      </c>
      <c r="AB89">
        <v>36</v>
      </c>
      <c r="AC89">
        <v>36</v>
      </c>
      <c r="AD89">
        <v>37</v>
      </c>
      <c r="AE89">
        <v>38</v>
      </c>
      <c r="AF89">
        <v>38</v>
      </c>
      <c r="AG89">
        <v>39</v>
      </c>
      <c r="AH89">
        <v>40</v>
      </c>
      <c r="AI89">
        <v>40</v>
      </c>
      <c r="AJ89">
        <v>41</v>
      </c>
    </row>
    <row r="90" spans="1:36" x14ac:dyDescent="0.25">
      <c r="A90" s="24"/>
      <c r="B90">
        <v>176</v>
      </c>
      <c r="C90">
        <v>20</v>
      </c>
      <c r="D90">
        <v>21</v>
      </c>
      <c r="E90">
        <v>21</v>
      </c>
      <c r="F90">
        <v>22</v>
      </c>
      <c r="G90">
        <v>22</v>
      </c>
      <c r="H90">
        <v>23</v>
      </c>
      <c r="I90">
        <v>24</v>
      </c>
      <c r="J90">
        <v>24</v>
      </c>
      <c r="K90">
        <v>25</v>
      </c>
      <c r="L90">
        <v>26</v>
      </c>
      <c r="M90">
        <v>26</v>
      </c>
      <c r="N90">
        <v>27</v>
      </c>
      <c r="O90">
        <v>28</v>
      </c>
      <c r="P90">
        <v>28</v>
      </c>
      <c r="Q90">
        <v>29</v>
      </c>
      <c r="R90">
        <v>29</v>
      </c>
      <c r="S90">
        <v>30</v>
      </c>
      <c r="T90">
        <v>31</v>
      </c>
      <c r="U90">
        <v>31</v>
      </c>
      <c r="V90">
        <v>32</v>
      </c>
      <c r="W90">
        <v>33</v>
      </c>
      <c r="X90">
        <v>33</v>
      </c>
      <c r="Y90">
        <v>34</v>
      </c>
      <c r="Z90">
        <v>35</v>
      </c>
      <c r="AA90">
        <v>35</v>
      </c>
      <c r="AB90">
        <v>36</v>
      </c>
      <c r="AC90">
        <v>36</v>
      </c>
      <c r="AD90">
        <v>37</v>
      </c>
      <c r="AE90">
        <v>38</v>
      </c>
      <c r="AF90">
        <v>38</v>
      </c>
      <c r="AG90">
        <v>39</v>
      </c>
      <c r="AH90">
        <v>40</v>
      </c>
      <c r="AI90">
        <v>40</v>
      </c>
      <c r="AJ90">
        <v>41</v>
      </c>
    </row>
    <row r="91" spans="1:36" x14ac:dyDescent="0.25">
      <c r="A91" s="24"/>
      <c r="B91">
        <v>177</v>
      </c>
      <c r="C91">
        <v>20</v>
      </c>
      <c r="D91">
        <v>21</v>
      </c>
      <c r="E91">
        <v>21</v>
      </c>
      <c r="F91">
        <v>22</v>
      </c>
      <c r="G91">
        <v>22</v>
      </c>
      <c r="H91">
        <v>23</v>
      </c>
      <c r="I91">
        <v>24</v>
      </c>
      <c r="J91">
        <v>24</v>
      </c>
      <c r="K91">
        <v>25</v>
      </c>
      <c r="L91">
        <v>26</v>
      </c>
      <c r="M91">
        <v>26</v>
      </c>
      <c r="N91">
        <v>27</v>
      </c>
      <c r="O91">
        <v>28</v>
      </c>
      <c r="P91">
        <v>28</v>
      </c>
      <c r="Q91">
        <v>29</v>
      </c>
      <c r="R91">
        <v>29</v>
      </c>
      <c r="S91">
        <v>30</v>
      </c>
      <c r="T91">
        <v>31</v>
      </c>
      <c r="U91">
        <v>31</v>
      </c>
      <c r="V91">
        <v>32</v>
      </c>
      <c r="W91">
        <v>33</v>
      </c>
      <c r="X91">
        <v>33</v>
      </c>
      <c r="Y91">
        <v>34</v>
      </c>
      <c r="Z91">
        <v>35</v>
      </c>
      <c r="AA91">
        <v>35</v>
      </c>
      <c r="AB91">
        <v>36</v>
      </c>
      <c r="AC91">
        <v>36</v>
      </c>
      <c r="AD91">
        <v>37</v>
      </c>
      <c r="AE91">
        <v>38</v>
      </c>
      <c r="AF91">
        <v>38</v>
      </c>
      <c r="AG91">
        <v>39</v>
      </c>
      <c r="AH91">
        <v>40</v>
      </c>
      <c r="AI91">
        <v>40</v>
      </c>
      <c r="AJ91">
        <v>41</v>
      </c>
    </row>
    <row r="92" spans="1:36" x14ac:dyDescent="0.25">
      <c r="A92" s="24"/>
      <c r="B92">
        <v>178</v>
      </c>
      <c r="C92">
        <v>20</v>
      </c>
      <c r="D92">
        <v>21</v>
      </c>
      <c r="E92">
        <v>21</v>
      </c>
      <c r="F92">
        <v>22</v>
      </c>
      <c r="G92">
        <v>22</v>
      </c>
      <c r="H92">
        <v>23</v>
      </c>
      <c r="I92">
        <v>24</v>
      </c>
      <c r="J92">
        <v>24</v>
      </c>
      <c r="K92">
        <v>25</v>
      </c>
      <c r="L92">
        <v>26</v>
      </c>
      <c r="M92">
        <v>26</v>
      </c>
      <c r="N92">
        <v>27</v>
      </c>
      <c r="O92">
        <v>28</v>
      </c>
      <c r="P92">
        <v>28</v>
      </c>
      <c r="Q92">
        <v>29</v>
      </c>
      <c r="R92">
        <v>29</v>
      </c>
      <c r="S92">
        <v>30</v>
      </c>
      <c r="T92">
        <v>31</v>
      </c>
      <c r="U92">
        <v>31</v>
      </c>
      <c r="V92">
        <v>32</v>
      </c>
      <c r="W92">
        <v>33</v>
      </c>
      <c r="X92">
        <v>33</v>
      </c>
      <c r="Y92">
        <v>34</v>
      </c>
      <c r="Z92">
        <v>35</v>
      </c>
      <c r="AA92">
        <v>35</v>
      </c>
      <c r="AB92">
        <v>36</v>
      </c>
      <c r="AC92">
        <v>36</v>
      </c>
      <c r="AD92">
        <v>37</v>
      </c>
      <c r="AE92">
        <v>38</v>
      </c>
      <c r="AF92">
        <v>38</v>
      </c>
      <c r="AG92">
        <v>39</v>
      </c>
      <c r="AH92">
        <v>40</v>
      </c>
      <c r="AI92">
        <v>40</v>
      </c>
      <c r="AJ92">
        <v>41</v>
      </c>
    </row>
    <row r="93" spans="1:36" x14ac:dyDescent="0.25">
      <c r="A93" s="24"/>
      <c r="B93">
        <v>179</v>
      </c>
      <c r="C93">
        <v>20</v>
      </c>
      <c r="D93">
        <v>21</v>
      </c>
      <c r="E93">
        <v>21</v>
      </c>
      <c r="F93">
        <v>22</v>
      </c>
      <c r="G93">
        <v>22</v>
      </c>
      <c r="H93">
        <v>23</v>
      </c>
      <c r="I93">
        <v>24</v>
      </c>
      <c r="J93">
        <v>24</v>
      </c>
      <c r="K93">
        <v>25</v>
      </c>
      <c r="L93">
        <v>26</v>
      </c>
      <c r="M93">
        <v>26</v>
      </c>
      <c r="N93">
        <v>27</v>
      </c>
      <c r="O93">
        <v>28</v>
      </c>
      <c r="P93">
        <v>28</v>
      </c>
      <c r="Q93">
        <v>29</v>
      </c>
      <c r="R93">
        <v>29</v>
      </c>
      <c r="S93">
        <v>30</v>
      </c>
      <c r="T93">
        <v>31</v>
      </c>
      <c r="U93">
        <v>31</v>
      </c>
      <c r="V93">
        <v>32</v>
      </c>
      <c r="W93">
        <v>33</v>
      </c>
      <c r="X93">
        <v>33</v>
      </c>
      <c r="Y93">
        <v>34</v>
      </c>
      <c r="Z93">
        <v>35</v>
      </c>
      <c r="AA93">
        <v>35</v>
      </c>
      <c r="AB93">
        <v>36</v>
      </c>
      <c r="AC93">
        <v>36</v>
      </c>
      <c r="AD93">
        <v>37</v>
      </c>
      <c r="AE93">
        <v>38</v>
      </c>
      <c r="AF93">
        <v>38</v>
      </c>
      <c r="AG93">
        <v>39</v>
      </c>
      <c r="AH93">
        <v>40</v>
      </c>
      <c r="AI93">
        <v>40</v>
      </c>
      <c r="AJ93">
        <v>41</v>
      </c>
    </row>
    <row r="94" spans="1:36" x14ac:dyDescent="0.25">
      <c r="A94" s="24"/>
      <c r="B94">
        <v>180</v>
      </c>
      <c r="C94">
        <v>20</v>
      </c>
      <c r="D94">
        <v>21</v>
      </c>
      <c r="E94">
        <v>21</v>
      </c>
      <c r="F94">
        <v>22</v>
      </c>
      <c r="G94">
        <v>22</v>
      </c>
      <c r="H94">
        <v>23</v>
      </c>
      <c r="I94">
        <v>24</v>
      </c>
      <c r="J94">
        <v>24</v>
      </c>
      <c r="K94">
        <v>25</v>
      </c>
      <c r="L94">
        <v>26</v>
      </c>
      <c r="M94">
        <v>26</v>
      </c>
      <c r="N94">
        <v>27</v>
      </c>
      <c r="O94">
        <v>28</v>
      </c>
      <c r="P94">
        <v>28</v>
      </c>
      <c r="Q94">
        <v>29</v>
      </c>
      <c r="R94">
        <v>29</v>
      </c>
      <c r="S94">
        <v>30</v>
      </c>
      <c r="T94">
        <v>31</v>
      </c>
      <c r="U94">
        <v>31</v>
      </c>
      <c r="V94">
        <v>32</v>
      </c>
      <c r="W94">
        <v>33</v>
      </c>
      <c r="X94">
        <v>33</v>
      </c>
      <c r="Y94">
        <v>34</v>
      </c>
      <c r="Z94">
        <v>35</v>
      </c>
      <c r="AA94">
        <v>35</v>
      </c>
      <c r="AB94">
        <v>36</v>
      </c>
      <c r="AC94">
        <v>36</v>
      </c>
      <c r="AD94">
        <v>37</v>
      </c>
      <c r="AE94">
        <v>38</v>
      </c>
      <c r="AF94">
        <v>38</v>
      </c>
      <c r="AG94">
        <v>39</v>
      </c>
      <c r="AH94">
        <v>40</v>
      </c>
      <c r="AI94">
        <v>40</v>
      </c>
      <c r="AJ94">
        <v>41</v>
      </c>
    </row>
    <row r="95" spans="1:36" x14ac:dyDescent="0.25">
      <c r="A95" s="24"/>
      <c r="B95">
        <v>181</v>
      </c>
      <c r="C95">
        <v>20</v>
      </c>
      <c r="D95">
        <v>21</v>
      </c>
      <c r="E95">
        <v>21</v>
      </c>
      <c r="F95">
        <v>22</v>
      </c>
      <c r="G95">
        <v>22</v>
      </c>
      <c r="H95">
        <v>23</v>
      </c>
      <c r="I95">
        <v>24</v>
      </c>
      <c r="J95">
        <v>24</v>
      </c>
      <c r="K95">
        <v>25</v>
      </c>
      <c r="L95">
        <v>26</v>
      </c>
      <c r="M95">
        <v>26</v>
      </c>
      <c r="N95">
        <v>27</v>
      </c>
      <c r="O95">
        <v>28</v>
      </c>
      <c r="P95">
        <v>28</v>
      </c>
      <c r="Q95">
        <v>29</v>
      </c>
      <c r="R95">
        <v>29</v>
      </c>
      <c r="S95">
        <v>30</v>
      </c>
      <c r="T95">
        <v>31</v>
      </c>
      <c r="U95">
        <v>31</v>
      </c>
      <c r="V95">
        <v>32</v>
      </c>
      <c r="W95">
        <v>33</v>
      </c>
      <c r="X95">
        <v>33</v>
      </c>
      <c r="Y95">
        <v>34</v>
      </c>
      <c r="Z95">
        <v>34</v>
      </c>
      <c r="AA95">
        <v>35</v>
      </c>
      <c r="AB95">
        <v>36</v>
      </c>
      <c r="AC95">
        <v>36</v>
      </c>
      <c r="AD95">
        <v>37</v>
      </c>
      <c r="AE95">
        <v>38</v>
      </c>
      <c r="AF95">
        <v>38</v>
      </c>
      <c r="AG95">
        <v>39</v>
      </c>
      <c r="AH95">
        <v>40</v>
      </c>
      <c r="AI95">
        <v>40</v>
      </c>
      <c r="AJ95">
        <v>41</v>
      </c>
    </row>
    <row r="96" spans="1:36" x14ac:dyDescent="0.25">
      <c r="A96" s="24"/>
      <c r="B96">
        <v>182</v>
      </c>
      <c r="C96">
        <v>20</v>
      </c>
      <c r="D96">
        <v>21</v>
      </c>
      <c r="E96">
        <v>21</v>
      </c>
      <c r="F96">
        <v>22</v>
      </c>
      <c r="G96">
        <v>22</v>
      </c>
      <c r="H96">
        <v>23</v>
      </c>
      <c r="I96">
        <v>24</v>
      </c>
      <c r="J96">
        <v>24</v>
      </c>
      <c r="K96">
        <v>25</v>
      </c>
      <c r="L96">
        <v>26</v>
      </c>
      <c r="M96">
        <v>26</v>
      </c>
      <c r="N96">
        <v>27</v>
      </c>
      <c r="O96">
        <v>27</v>
      </c>
      <c r="P96">
        <v>28</v>
      </c>
      <c r="Q96">
        <v>29</v>
      </c>
      <c r="R96">
        <v>29</v>
      </c>
      <c r="S96">
        <v>30</v>
      </c>
      <c r="T96">
        <v>31</v>
      </c>
      <c r="U96">
        <v>31</v>
      </c>
      <c r="V96">
        <v>32</v>
      </c>
      <c r="W96">
        <v>33</v>
      </c>
      <c r="X96">
        <v>33</v>
      </c>
      <c r="Y96">
        <v>34</v>
      </c>
      <c r="Z96">
        <v>34</v>
      </c>
      <c r="AA96">
        <v>35</v>
      </c>
      <c r="AB96">
        <v>36</v>
      </c>
      <c r="AC96">
        <v>36</v>
      </c>
      <c r="AD96">
        <v>37</v>
      </c>
      <c r="AE96">
        <v>38</v>
      </c>
      <c r="AF96">
        <v>38</v>
      </c>
      <c r="AG96">
        <v>39</v>
      </c>
      <c r="AH96">
        <v>40</v>
      </c>
      <c r="AI96">
        <v>40</v>
      </c>
      <c r="AJ96">
        <v>41</v>
      </c>
    </row>
    <row r="97" spans="1:36" x14ac:dyDescent="0.25">
      <c r="A97" s="24"/>
      <c r="B97">
        <v>183</v>
      </c>
      <c r="C97">
        <v>20</v>
      </c>
      <c r="D97">
        <v>20</v>
      </c>
      <c r="E97">
        <v>21</v>
      </c>
      <c r="F97">
        <v>22</v>
      </c>
      <c r="G97">
        <v>22</v>
      </c>
      <c r="H97">
        <v>23</v>
      </c>
      <c r="I97">
        <v>24</v>
      </c>
      <c r="J97">
        <v>24</v>
      </c>
      <c r="K97">
        <v>25</v>
      </c>
      <c r="L97">
        <v>26</v>
      </c>
      <c r="M97">
        <v>26</v>
      </c>
      <c r="N97">
        <v>27</v>
      </c>
      <c r="O97">
        <v>27</v>
      </c>
      <c r="P97">
        <v>28</v>
      </c>
      <c r="Q97">
        <v>29</v>
      </c>
      <c r="R97">
        <v>29</v>
      </c>
      <c r="S97">
        <v>30</v>
      </c>
      <c r="T97">
        <v>31</v>
      </c>
      <c r="U97">
        <v>31</v>
      </c>
      <c r="V97">
        <v>32</v>
      </c>
      <c r="W97">
        <v>33</v>
      </c>
      <c r="X97">
        <v>33</v>
      </c>
      <c r="Y97">
        <v>34</v>
      </c>
      <c r="Z97">
        <v>34</v>
      </c>
      <c r="AA97">
        <v>35</v>
      </c>
      <c r="AB97">
        <v>36</v>
      </c>
      <c r="AC97">
        <v>36</v>
      </c>
      <c r="AD97">
        <v>37</v>
      </c>
      <c r="AE97">
        <v>38</v>
      </c>
      <c r="AF97">
        <v>38</v>
      </c>
      <c r="AG97">
        <v>39</v>
      </c>
      <c r="AH97">
        <v>40</v>
      </c>
      <c r="AI97">
        <v>40</v>
      </c>
      <c r="AJ97">
        <v>41</v>
      </c>
    </row>
    <row r="98" spans="1:36" x14ac:dyDescent="0.25">
      <c r="A98" s="24"/>
      <c r="B98">
        <v>184</v>
      </c>
      <c r="C98">
        <v>20</v>
      </c>
      <c r="D98">
        <v>20</v>
      </c>
      <c r="E98">
        <v>21</v>
      </c>
      <c r="F98">
        <v>22</v>
      </c>
      <c r="G98">
        <v>22</v>
      </c>
      <c r="H98">
        <v>23</v>
      </c>
      <c r="I98">
        <v>24</v>
      </c>
      <c r="J98">
        <v>24</v>
      </c>
      <c r="K98">
        <v>25</v>
      </c>
      <c r="L98">
        <v>26</v>
      </c>
      <c r="M98">
        <v>26</v>
      </c>
      <c r="N98">
        <v>27</v>
      </c>
      <c r="O98">
        <v>27</v>
      </c>
      <c r="P98">
        <v>28</v>
      </c>
      <c r="Q98">
        <v>29</v>
      </c>
      <c r="R98">
        <v>29</v>
      </c>
      <c r="S98">
        <v>30</v>
      </c>
      <c r="T98">
        <v>31</v>
      </c>
      <c r="U98">
        <v>31</v>
      </c>
      <c r="V98">
        <v>32</v>
      </c>
      <c r="W98">
        <v>33</v>
      </c>
      <c r="X98">
        <v>33</v>
      </c>
      <c r="Y98">
        <v>34</v>
      </c>
      <c r="Z98">
        <v>34</v>
      </c>
      <c r="AA98">
        <v>35</v>
      </c>
      <c r="AB98">
        <v>36</v>
      </c>
      <c r="AC98">
        <v>36</v>
      </c>
      <c r="AD98">
        <v>37</v>
      </c>
      <c r="AE98">
        <v>38</v>
      </c>
      <c r="AF98">
        <v>38</v>
      </c>
      <c r="AG98">
        <v>39</v>
      </c>
      <c r="AH98">
        <v>40</v>
      </c>
      <c r="AI98">
        <v>40</v>
      </c>
      <c r="AJ98">
        <v>41</v>
      </c>
    </row>
    <row r="99" spans="1:36" x14ac:dyDescent="0.25">
      <c r="A99" s="24"/>
      <c r="B99">
        <v>185</v>
      </c>
      <c r="C99">
        <v>20</v>
      </c>
      <c r="D99">
        <v>20</v>
      </c>
      <c r="E99">
        <v>21</v>
      </c>
      <c r="F99">
        <v>22</v>
      </c>
      <c r="G99">
        <v>22</v>
      </c>
      <c r="H99">
        <v>23</v>
      </c>
      <c r="I99">
        <v>24</v>
      </c>
      <c r="J99">
        <v>24</v>
      </c>
      <c r="K99">
        <v>25</v>
      </c>
      <c r="L99">
        <v>26</v>
      </c>
      <c r="M99">
        <v>26</v>
      </c>
      <c r="N99">
        <v>27</v>
      </c>
      <c r="O99">
        <v>27</v>
      </c>
      <c r="P99">
        <v>28</v>
      </c>
      <c r="Q99">
        <v>29</v>
      </c>
      <c r="R99">
        <v>29</v>
      </c>
      <c r="S99">
        <v>30</v>
      </c>
      <c r="T99">
        <v>31</v>
      </c>
      <c r="U99">
        <v>31</v>
      </c>
      <c r="V99">
        <v>32</v>
      </c>
      <c r="W99">
        <v>33</v>
      </c>
      <c r="X99">
        <v>33</v>
      </c>
      <c r="Y99">
        <v>34</v>
      </c>
      <c r="Z99">
        <v>34</v>
      </c>
      <c r="AA99">
        <v>35</v>
      </c>
      <c r="AB99">
        <v>36</v>
      </c>
      <c r="AC99">
        <v>36</v>
      </c>
      <c r="AD99">
        <v>37</v>
      </c>
      <c r="AE99">
        <v>38</v>
      </c>
      <c r="AF99">
        <v>38</v>
      </c>
      <c r="AG99">
        <v>39</v>
      </c>
      <c r="AH99">
        <v>40</v>
      </c>
      <c r="AI99">
        <v>40</v>
      </c>
      <c r="AJ99">
        <v>41</v>
      </c>
    </row>
    <row r="100" spans="1:36" x14ac:dyDescent="0.25">
      <c r="A100" s="24"/>
      <c r="B100">
        <v>186</v>
      </c>
      <c r="C100">
        <v>20</v>
      </c>
      <c r="D100">
        <v>20</v>
      </c>
      <c r="E100">
        <v>21</v>
      </c>
      <c r="F100">
        <v>22</v>
      </c>
      <c r="G100">
        <v>22</v>
      </c>
      <c r="H100">
        <v>23</v>
      </c>
      <c r="I100">
        <v>24</v>
      </c>
      <c r="J100">
        <v>24</v>
      </c>
      <c r="K100">
        <v>25</v>
      </c>
      <c r="L100">
        <v>26</v>
      </c>
      <c r="M100">
        <v>26</v>
      </c>
      <c r="N100">
        <v>27</v>
      </c>
      <c r="O100">
        <v>27</v>
      </c>
      <c r="P100">
        <v>28</v>
      </c>
      <c r="Q100">
        <v>29</v>
      </c>
      <c r="R100">
        <v>29</v>
      </c>
      <c r="S100">
        <v>30</v>
      </c>
      <c r="T100">
        <v>31</v>
      </c>
      <c r="U100">
        <v>31</v>
      </c>
      <c r="V100">
        <v>32</v>
      </c>
      <c r="W100">
        <v>33</v>
      </c>
      <c r="X100">
        <v>33</v>
      </c>
      <c r="Y100">
        <v>34</v>
      </c>
      <c r="Z100">
        <v>34</v>
      </c>
      <c r="AA100">
        <v>35</v>
      </c>
      <c r="AB100">
        <v>36</v>
      </c>
      <c r="AC100">
        <v>36</v>
      </c>
      <c r="AD100">
        <v>37</v>
      </c>
      <c r="AE100">
        <v>38</v>
      </c>
      <c r="AF100">
        <v>38</v>
      </c>
      <c r="AG100">
        <v>39</v>
      </c>
      <c r="AH100">
        <v>39</v>
      </c>
      <c r="AI100">
        <v>40</v>
      </c>
      <c r="AJ100">
        <v>41</v>
      </c>
    </row>
    <row r="101" spans="1:36" x14ac:dyDescent="0.25">
      <c r="A101" s="24"/>
      <c r="B101">
        <v>187</v>
      </c>
      <c r="C101">
        <v>20</v>
      </c>
      <c r="D101">
        <v>20</v>
      </c>
      <c r="E101">
        <v>21</v>
      </c>
      <c r="F101">
        <v>22</v>
      </c>
      <c r="G101">
        <v>22</v>
      </c>
      <c r="H101">
        <v>23</v>
      </c>
      <c r="I101">
        <v>24</v>
      </c>
      <c r="J101">
        <v>24</v>
      </c>
      <c r="K101">
        <v>25</v>
      </c>
      <c r="L101">
        <v>26</v>
      </c>
      <c r="M101">
        <v>26</v>
      </c>
      <c r="N101">
        <v>27</v>
      </c>
      <c r="O101">
        <v>27</v>
      </c>
      <c r="P101">
        <v>28</v>
      </c>
      <c r="Q101">
        <v>29</v>
      </c>
      <c r="R101">
        <v>29</v>
      </c>
      <c r="S101">
        <v>30</v>
      </c>
      <c r="T101">
        <v>31</v>
      </c>
      <c r="U101">
        <v>31</v>
      </c>
      <c r="V101">
        <v>32</v>
      </c>
      <c r="W101">
        <v>32</v>
      </c>
      <c r="X101">
        <v>33</v>
      </c>
      <c r="Y101">
        <v>34</v>
      </c>
      <c r="Z101">
        <v>34</v>
      </c>
      <c r="AA101">
        <v>35</v>
      </c>
      <c r="AB101">
        <v>36</v>
      </c>
      <c r="AC101">
        <v>36</v>
      </c>
      <c r="AD101">
        <v>37</v>
      </c>
      <c r="AE101">
        <v>38</v>
      </c>
      <c r="AF101">
        <v>8</v>
      </c>
      <c r="AG101">
        <v>39</v>
      </c>
      <c r="AH101">
        <v>39</v>
      </c>
      <c r="AI101">
        <v>40</v>
      </c>
      <c r="AJ101">
        <v>41</v>
      </c>
    </row>
    <row r="102" spans="1:36" x14ac:dyDescent="0.25">
      <c r="A102" s="24"/>
      <c r="B102">
        <v>188</v>
      </c>
      <c r="C102">
        <v>20</v>
      </c>
      <c r="D102">
        <v>20</v>
      </c>
      <c r="E102">
        <v>21</v>
      </c>
      <c r="F102">
        <v>22</v>
      </c>
      <c r="G102">
        <v>22</v>
      </c>
      <c r="H102">
        <v>23</v>
      </c>
      <c r="I102">
        <v>24</v>
      </c>
      <c r="J102">
        <v>24</v>
      </c>
      <c r="K102">
        <v>25</v>
      </c>
      <c r="L102">
        <v>25</v>
      </c>
      <c r="M102">
        <v>26</v>
      </c>
      <c r="N102">
        <v>27</v>
      </c>
      <c r="O102">
        <v>27</v>
      </c>
      <c r="P102">
        <v>28</v>
      </c>
      <c r="Q102">
        <v>29</v>
      </c>
      <c r="R102">
        <v>29</v>
      </c>
      <c r="S102">
        <v>30</v>
      </c>
      <c r="T102">
        <v>31</v>
      </c>
      <c r="U102">
        <v>31</v>
      </c>
      <c r="V102">
        <v>32</v>
      </c>
      <c r="W102">
        <v>32</v>
      </c>
      <c r="X102">
        <v>33</v>
      </c>
      <c r="Y102">
        <v>34</v>
      </c>
      <c r="Z102">
        <v>34</v>
      </c>
      <c r="AA102">
        <v>35</v>
      </c>
      <c r="AB102">
        <v>36</v>
      </c>
      <c r="AC102">
        <v>36</v>
      </c>
      <c r="AD102">
        <v>37</v>
      </c>
      <c r="AE102">
        <v>38</v>
      </c>
      <c r="AF102">
        <v>38</v>
      </c>
      <c r="AG102">
        <v>39</v>
      </c>
      <c r="AH102">
        <v>39</v>
      </c>
      <c r="AI102">
        <v>40</v>
      </c>
      <c r="AJ102">
        <v>41</v>
      </c>
    </row>
    <row r="103" spans="1:36" x14ac:dyDescent="0.25">
      <c r="A103" s="24"/>
      <c r="B103">
        <v>189</v>
      </c>
      <c r="C103">
        <v>20</v>
      </c>
      <c r="D103">
        <v>20</v>
      </c>
      <c r="E103">
        <v>21</v>
      </c>
      <c r="F103">
        <v>22</v>
      </c>
      <c r="G103">
        <v>22</v>
      </c>
      <c r="H103">
        <v>23</v>
      </c>
      <c r="I103">
        <v>24</v>
      </c>
      <c r="J103">
        <v>24</v>
      </c>
      <c r="K103">
        <v>25</v>
      </c>
      <c r="L103">
        <v>25</v>
      </c>
      <c r="M103">
        <v>26</v>
      </c>
      <c r="N103">
        <v>27</v>
      </c>
      <c r="O103">
        <v>27</v>
      </c>
      <c r="P103">
        <v>28</v>
      </c>
      <c r="Q103">
        <v>29</v>
      </c>
      <c r="R103">
        <v>29</v>
      </c>
      <c r="S103">
        <v>30</v>
      </c>
      <c r="T103">
        <v>31</v>
      </c>
      <c r="U103">
        <v>31</v>
      </c>
      <c r="V103">
        <v>32</v>
      </c>
      <c r="W103">
        <v>32</v>
      </c>
      <c r="X103">
        <v>33</v>
      </c>
      <c r="Y103">
        <v>34</v>
      </c>
      <c r="Z103">
        <v>34</v>
      </c>
      <c r="AA103">
        <v>35</v>
      </c>
      <c r="AB103">
        <v>36</v>
      </c>
      <c r="AC103">
        <v>36</v>
      </c>
      <c r="AD103">
        <v>37</v>
      </c>
      <c r="AE103">
        <v>38</v>
      </c>
      <c r="AF103">
        <v>38</v>
      </c>
      <c r="AG103">
        <v>39</v>
      </c>
      <c r="AH103">
        <v>39</v>
      </c>
      <c r="AI103">
        <v>40</v>
      </c>
      <c r="AJ103">
        <v>41</v>
      </c>
    </row>
    <row r="104" spans="1:36" x14ac:dyDescent="0.25">
      <c r="A104" s="24"/>
      <c r="B104">
        <v>190</v>
      </c>
      <c r="C104">
        <v>20</v>
      </c>
      <c r="D104">
        <v>20</v>
      </c>
      <c r="E104">
        <v>21</v>
      </c>
      <c r="F104">
        <v>22</v>
      </c>
      <c r="G104">
        <v>22</v>
      </c>
      <c r="H104">
        <v>23</v>
      </c>
      <c r="I104">
        <v>24</v>
      </c>
      <c r="J104">
        <v>24</v>
      </c>
      <c r="K104">
        <v>25</v>
      </c>
      <c r="L104">
        <v>25</v>
      </c>
      <c r="M104">
        <v>26</v>
      </c>
      <c r="N104">
        <v>27</v>
      </c>
      <c r="O104">
        <v>27</v>
      </c>
      <c r="P104">
        <v>28</v>
      </c>
      <c r="Q104">
        <v>29</v>
      </c>
      <c r="R104">
        <v>29</v>
      </c>
      <c r="S104">
        <v>30</v>
      </c>
      <c r="T104">
        <v>31</v>
      </c>
      <c r="U104">
        <v>31</v>
      </c>
      <c r="V104">
        <v>32</v>
      </c>
      <c r="W104">
        <v>32</v>
      </c>
      <c r="X104">
        <v>33</v>
      </c>
      <c r="Y104">
        <v>34</v>
      </c>
      <c r="Z104">
        <v>34</v>
      </c>
      <c r="AA104">
        <v>35</v>
      </c>
      <c r="AB104">
        <v>36</v>
      </c>
      <c r="AC104">
        <v>36</v>
      </c>
      <c r="AD104">
        <v>37</v>
      </c>
      <c r="AE104">
        <v>38</v>
      </c>
      <c r="AF104">
        <v>38</v>
      </c>
      <c r="AG104">
        <v>39</v>
      </c>
      <c r="AH104">
        <v>39</v>
      </c>
      <c r="AI104">
        <v>40</v>
      </c>
      <c r="AJ104">
        <v>41</v>
      </c>
    </row>
    <row r="105" spans="1:36" x14ac:dyDescent="0.25">
      <c r="A105" s="24"/>
      <c r="B105">
        <v>191</v>
      </c>
      <c r="C105">
        <v>20</v>
      </c>
      <c r="D105">
        <v>20</v>
      </c>
      <c r="E105">
        <v>21</v>
      </c>
      <c r="F105">
        <v>22</v>
      </c>
      <c r="G105">
        <v>22</v>
      </c>
      <c r="H105">
        <v>23</v>
      </c>
      <c r="I105">
        <v>24</v>
      </c>
      <c r="J105">
        <v>24</v>
      </c>
      <c r="K105">
        <v>25</v>
      </c>
      <c r="L105">
        <v>25</v>
      </c>
      <c r="M105">
        <v>26</v>
      </c>
      <c r="N105">
        <v>27</v>
      </c>
      <c r="O105">
        <v>27</v>
      </c>
      <c r="P105">
        <v>28</v>
      </c>
      <c r="Q105">
        <v>29</v>
      </c>
      <c r="R105">
        <v>29</v>
      </c>
      <c r="S105">
        <v>30</v>
      </c>
      <c r="T105">
        <v>31</v>
      </c>
      <c r="U105">
        <v>31</v>
      </c>
      <c r="V105">
        <v>32</v>
      </c>
      <c r="W105">
        <v>32</v>
      </c>
      <c r="X105">
        <v>33</v>
      </c>
      <c r="Y105">
        <v>34</v>
      </c>
      <c r="Z105">
        <v>34</v>
      </c>
      <c r="AA105">
        <v>35</v>
      </c>
      <c r="AB105">
        <v>36</v>
      </c>
      <c r="AC105">
        <v>36</v>
      </c>
      <c r="AD105">
        <v>37</v>
      </c>
      <c r="AE105">
        <v>38</v>
      </c>
      <c r="AF105">
        <v>38</v>
      </c>
      <c r="AG105">
        <v>39</v>
      </c>
      <c r="AH105">
        <v>39</v>
      </c>
      <c r="AI105">
        <v>40</v>
      </c>
      <c r="AJ105">
        <v>41</v>
      </c>
    </row>
    <row r="106" spans="1:36" x14ac:dyDescent="0.25">
      <c r="A106" s="24"/>
      <c r="B106">
        <v>192</v>
      </c>
      <c r="C106">
        <v>20</v>
      </c>
      <c r="D106">
        <v>20</v>
      </c>
      <c r="E106">
        <v>21</v>
      </c>
      <c r="F106">
        <v>22</v>
      </c>
      <c r="G106">
        <v>22</v>
      </c>
      <c r="H106">
        <v>23</v>
      </c>
      <c r="I106">
        <v>24</v>
      </c>
      <c r="J106">
        <v>24</v>
      </c>
      <c r="K106">
        <v>25</v>
      </c>
      <c r="L106">
        <v>25</v>
      </c>
      <c r="M106">
        <v>26</v>
      </c>
      <c r="N106">
        <v>27</v>
      </c>
      <c r="O106">
        <v>27</v>
      </c>
      <c r="P106">
        <v>28</v>
      </c>
      <c r="Q106">
        <v>29</v>
      </c>
      <c r="R106">
        <v>29</v>
      </c>
      <c r="S106">
        <v>30</v>
      </c>
      <c r="T106">
        <v>31</v>
      </c>
      <c r="U106">
        <v>31</v>
      </c>
      <c r="V106">
        <v>32</v>
      </c>
      <c r="W106">
        <v>32</v>
      </c>
      <c r="X106">
        <v>33</v>
      </c>
      <c r="Y106">
        <v>34</v>
      </c>
      <c r="Z106">
        <v>34</v>
      </c>
      <c r="AA106">
        <v>35</v>
      </c>
      <c r="AB106">
        <v>36</v>
      </c>
      <c r="AC106">
        <v>36</v>
      </c>
      <c r="AD106">
        <v>37</v>
      </c>
      <c r="AE106">
        <v>38</v>
      </c>
      <c r="AF106">
        <v>38</v>
      </c>
      <c r="AG106">
        <v>39</v>
      </c>
      <c r="AH106">
        <v>39</v>
      </c>
      <c r="AI106">
        <v>40</v>
      </c>
      <c r="AJ106">
        <v>41</v>
      </c>
    </row>
    <row r="107" spans="1:36" x14ac:dyDescent="0.25">
      <c r="A107" s="24"/>
      <c r="B107">
        <v>193</v>
      </c>
      <c r="C107">
        <v>20</v>
      </c>
      <c r="D107">
        <v>20</v>
      </c>
      <c r="E107">
        <v>21</v>
      </c>
      <c r="F107">
        <v>22</v>
      </c>
      <c r="G107">
        <v>22</v>
      </c>
      <c r="H107">
        <v>23</v>
      </c>
      <c r="I107">
        <v>24</v>
      </c>
      <c r="J107">
        <v>24</v>
      </c>
      <c r="K107">
        <v>25</v>
      </c>
      <c r="L107">
        <v>25</v>
      </c>
      <c r="M107">
        <v>26</v>
      </c>
      <c r="N107">
        <v>27</v>
      </c>
      <c r="O107">
        <v>27</v>
      </c>
      <c r="P107">
        <v>28</v>
      </c>
      <c r="Q107">
        <v>29</v>
      </c>
      <c r="R107">
        <v>29</v>
      </c>
      <c r="S107">
        <v>30</v>
      </c>
      <c r="T107">
        <v>30</v>
      </c>
      <c r="U107">
        <v>31</v>
      </c>
      <c r="V107">
        <v>32</v>
      </c>
      <c r="W107">
        <v>32</v>
      </c>
      <c r="X107">
        <v>33</v>
      </c>
      <c r="Y107">
        <v>34</v>
      </c>
      <c r="Z107">
        <v>34</v>
      </c>
      <c r="AA107">
        <v>35</v>
      </c>
      <c r="AB107">
        <v>36</v>
      </c>
      <c r="AC107">
        <v>36</v>
      </c>
      <c r="AD107">
        <v>37</v>
      </c>
      <c r="AE107">
        <v>37</v>
      </c>
      <c r="AF107">
        <v>38</v>
      </c>
      <c r="AG107">
        <v>39</v>
      </c>
      <c r="AH107">
        <v>39</v>
      </c>
      <c r="AI107">
        <v>40</v>
      </c>
      <c r="AJ107">
        <v>41</v>
      </c>
    </row>
    <row r="108" spans="1:36" x14ac:dyDescent="0.25">
      <c r="A108" s="24"/>
      <c r="B108">
        <v>194</v>
      </c>
      <c r="C108">
        <v>20</v>
      </c>
      <c r="D108">
        <v>20</v>
      </c>
      <c r="E108">
        <v>21</v>
      </c>
      <c r="F108">
        <v>22</v>
      </c>
      <c r="G108">
        <v>22</v>
      </c>
      <c r="H108">
        <v>23</v>
      </c>
      <c r="I108">
        <v>24</v>
      </c>
      <c r="J108">
        <v>24</v>
      </c>
      <c r="K108">
        <v>25</v>
      </c>
      <c r="L108">
        <v>25</v>
      </c>
      <c r="M108">
        <v>26</v>
      </c>
      <c r="N108">
        <v>27</v>
      </c>
      <c r="O108">
        <v>27</v>
      </c>
      <c r="P108">
        <v>28</v>
      </c>
      <c r="Q108">
        <v>29</v>
      </c>
      <c r="R108">
        <v>29</v>
      </c>
      <c r="S108">
        <v>30</v>
      </c>
      <c r="T108">
        <v>30</v>
      </c>
      <c r="U108">
        <v>31</v>
      </c>
      <c r="V108">
        <v>32</v>
      </c>
      <c r="W108">
        <v>32</v>
      </c>
      <c r="X108">
        <v>33</v>
      </c>
      <c r="Y108">
        <v>34</v>
      </c>
      <c r="Z108">
        <v>34</v>
      </c>
      <c r="AA108">
        <v>35</v>
      </c>
      <c r="AB108">
        <v>36</v>
      </c>
      <c r="AC108">
        <v>36</v>
      </c>
      <c r="AD108">
        <v>37</v>
      </c>
      <c r="AE108">
        <v>37</v>
      </c>
      <c r="AF108">
        <v>38</v>
      </c>
      <c r="AG108">
        <v>39</v>
      </c>
      <c r="AH108">
        <v>39</v>
      </c>
      <c r="AI108">
        <v>40</v>
      </c>
      <c r="AJ108">
        <v>41</v>
      </c>
    </row>
    <row r="109" spans="1:36" x14ac:dyDescent="0.25">
      <c r="A109" s="24"/>
      <c r="B109">
        <v>195</v>
      </c>
      <c r="C109">
        <v>20</v>
      </c>
      <c r="D109">
        <v>20</v>
      </c>
      <c r="E109">
        <v>21</v>
      </c>
      <c r="F109">
        <v>22</v>
      </c>
      <c r="G109">
        <v>22</v>
      </c>
      <c r="H109">
        <v>23</v>
      </c>
      <c r="I109">
        <v>23</v>
      </c>
      <c r="J109">
        <v>24</v>
      </c>
      <c r="K109">
        <v>25</v>
      </c>
      <c r="L109">
        <v>25</v>
      </c>
      <c r="M109">
        <v>26</v>
      </c>
      <c r="N109">
        <v>27</v>
      </c>
      <c r="O109">
        <v>27</v>
      </c>
      <c r="P109">
        <v>28</v>
      </c>
      <c r="Q109">
        <v>29</v>
      </c>
      <c r="R109">
        <v>29</v>
      </c>
      <c r="S109">
        <v>30</v>
      </c>
      <c r="T109">
        <v>30</v>
      </c>
      <c r="U109">
        <v>31</v>
      </c>
      <c r="V109">
        <v>32</v>
      </c>
      <c r="W109">
        <v>32</v>
      </c>
      <c r="X109">
        <v>33</v>
      </c>
      <c r="Y109">
        <v>34</v>
      </c>
      <c r="Z109">
        <v>34</v>
      </c>
      <c r="AA109">
        <v>35</v>
      </c>
      <c r="AB109">
        <v>36</v>
      </c>
      <c r="AC109">
        <v>36</v>
      </c>
      <c r="AD109">
        <v>37</v>
      </c>
      <c r="AE109">
        <v>37</v>
      </c>
      <c r="AF109">
        <v>38</v>
      </c>
      <c r="AG109">
        <v>39</v>
      </c>
      <c r="AH109">
        <v>39</v>
      </c>
      <c r="AI109">
        <v>40</v>
      </c>
      <c r="AJ109">
        <v>41</v>
      </c>
    </row>
    <row r="110" spans="1:36" x14ac:dyDescent="0.25">
      <c r="A110" s="24"/>
      <c r="B110">
        <v>196</v>
      </c>
      <c r="C110">
        <v>20</v>
      </c>
      <c r="D110">
        <v>20</v>
      </c>
      <c r="E110">
        <v>21</v>
      </c>
      <c r="F110">
        <v>22</v>
      </c>
      <c r="G110">
        <v>22</v>
      </c>
      <c r="H110">
        <v>23</v>
      </c>
      <c r="I110">
        <v>23</v>
      </c>
      <c r="J110">
        <v>24</v>
      </c>
      <c r="K110">
        <v>25</v>
      </c>
      <c r="L110">
        <v>25</v>
      </c>
      <c r="M110">
        <v>26</v>
      </c>
      <c r="N110">
        <v>27</v>
      </c>
      <c r="O110">
        <v>27</v>
      </c>
      <c r="P110">
        <v>28</v>
      </c>
      <c r="Q110">
        <v>29</v>
      </c>
      <c r="R110">
        <v>29</v>
      </c>
      <c r="S110">
        <v>30</v>
      </c>
      <c r="T110">
        <v>30</v>
      </c>
      <c r="U110">
        <v>31</v>
      </c>
      <c r="V110">
        <v>32</v>
      </c>
      <c r="W110">
        <v>32</v>
      </c>
      <c r="X110">
        <v>33</v>
      </c>
      <c r="Y110">
        <v>34</v>
      </c>
      <c r="Z110">
        <v>34</v>
      </c>
      <c r="AA110">
        <v>35</v>
      </c>
      <c r="AB110">
        <v>36</v>
      </c>
      <c r="AC110">
        <v>36</v>
      </c>
      <c r="AD110">
        <v>37</v>
      </c>
      <c r="AE110">
        <v>37</v>
      </c>
      <c r="AF110">
        <v>38</v>
      </c>
      <c r="AG110">
        <v>39</v>
      </c>
      <c r="AH110">
        <v>39</v>
      </c>
      <c r="AI110">
        <v>40</v>
      </c>
      <c r="AJ110">
        <v>41</v>
      </c>
    </row>
    <row r="111" spans="1:36" x14ac:dyDescent="0.25">
      <c r="A111" s="24"/>
      <c r="B111">
        <v>197</v>
      </c>
      <c r="C111">
        <v>20</v>
      </c>
      <c r="D111">
        <v>20</v>
      </c>
      <c r="E111">
        <v>21</v>
      </c>
      <c r="F111">
        <v>22</v>
      </c>
      <c r="G111">
        <v>22</v>
      </c>
      <c r="H111">
        <v>23</v>
      </c>
      <c r="I111">
        <v>23</v>
      </c>
      <c r="J111">
        <v>24</v>
      </c>
      <c r="K111">
        <v>25</v>
      </c>
      <c r="L111">
        <v>25</v>
      </c>
      <c r="M111">
        <v>26</v>
      </c>
      <c r="N111">
        <v>27</v>
      </c>
      <c r="O111">
        <v>27</v>
      </c>
      <c r="P111">
        <v>28</v>
      </c>
      <c r="Q111">
        <v>29</v>
      </c>
      <c r="R111">
        <v>29</v>
      </c>
      <c r="S111">
        <v>30</v>
      </c>
      <c r="T111">
        <v>30</v>
      </c>
      <c r="U111">
        <v>31</v>
      </c>
      <c r="V111">
        <v>32</v>
      </c>
      <c r="W111">
        <v>32</v>
      </c>
      <c r="X111">
        <v>33</v>
      </c>
      <c r="Y111">
        <v>34</v>
      </c>
      <c r="Z111">
        <v>34</v>
      </c>
      <c r="AA111">
        <v>35</v>
      </c>
      <c r="AB111">
        <v>36</v>
      </c>
      <c r="AC111">
        <v>36</v>
      </c>
      <c r="AD111">
        <v>37</v>
      </c>
      <c r="AE111">
        <v>37</v>
      </c>
      <c r="AF111">
        <v>38</v>
      </c>
      <c r="AG111">
        <v>39</v>
      </c>
      <c r="AH111">
        <v>39</v>
      </c>
      <c r="AI111">
        <v>40</v>
      </c>
      <c r="AJ111">
        <v>41</v>
      </c>
    </row>
    <row r="112" spans="1:36" x14ac:dyDescent="0.25">
      <c r="A112" s="24"/>
      <c r="B112">
        <v>198</v>
      </c>
      <c r="C112">
        <v>20</v>
      </c>
      <c r="D112">
        <v>20</v>
      </c>
      <c r="E112">
        <v>21</v>
      </c>
      <c r="F112">
        <v>22</v>
      </c>
      <c r="G112">
        <v>22</v>
      </c>
      <c r="H112">
        <v>23</v>
      </c>
      <c r="I112">
        <v>23</v>
      </c>
      <c r="J112">
        <v>24</v>
      </c>
      <c r="K112">
        <v>25</v>
      </c>
      <c r="L112">
        <v>25</v>
      </c>
      <c r="M112">
        <v>26</v>
      </c>
      <c r="N112">
        <v>27</v>
      </c>
      <c r="O112">
        <v>27</v>
      </c>
      <c r="P112">
        <v>28</v>
      </c>
      <c r="Q112">
        <v>29</v>
      </c>
      <c r="R112">
        <v>29</v>
      </c>
      <c r="S112">
        <v>30</v>
      </c>
      <c r="T112">
        <v>30</v>
      </c>
      <c r="U112">
        <v>31</v>
      </c>
      <c r="V112">
        <v>32</v>
      </c>
      <c r="W112">
        <v>32</v>
      </c>
      <c r="X112">
        <v>33</v>
      </c>
      <c r="Y112">
        <v>34</v>
      </c>
      <c r="Z112">
        <v>34</v>
      </c>
      <c r="AA112">
        <v>35</v>
      </c>
      <c r="AB112">
        <v>36</v>
      </c>
      <c r="AC112">
        <v>36</v>
      </c>
      <c r="AD112">
        <v>37</v>
      </c>
      <c r="AE112">
        <v>37</v>
      </c>
      <c r="AF112">
        <v>38</v>
      </c>
      <c r="AG112">
        <v>39</v>
      </c>
      <c r="AH112">
        <v>39</v>
      </c>
      <c r="AI112">
        <v>40</v>
      </c>
      <c r="AJ112">
        <v>41</v>
      </c>
    </row>
    <row r="113" spans="1:36" x14ac:dyDescent="0.25">
      <c r="A113" s="24"/>
      <c r="B113">
        <v>199</v>
      </c>
      <c r="C113">
        <v>20</v>
      </c>
      <c r="D113">
        <v>20</v>
      </c>
      <c r="E113">
        <v>21</v>
      </c>
      <c r="F113">
        <v>22</v>
      </c>
      <c r="G113">
        <v>22</v>
      </c>
      <c r="H113">
        <v>23</v>
      </c>
      <c r="I113">
        <v>23</v>
      </c>
      <c r="J113">
        <v>24</v>
      </c>
      <c r="K113">
        <v>25</v>
      </c>
      <c r="L113">
        <v>25</v>
      </c>
      <c r="M113">
        <v>26</v>
      </c>
      <c r="N113">
        <v>27</v>
      </c>
      <c r="O113">
        <v>27</v>
      </c>
      <c r="P113">
        <v>28</v>
      </c>
      <c r="Q113">
        <v>29</v>
      </c>
      <c r="R113">
        <v>29</v>
      </c>
      <c r="S113">
        <v>30</v>
      </c>
      <c r="T113">
        <v>30</v>
      </c>
      <c r="U113">
        <v>31</v>
      </c>
      <c r="V113">
        <v>32</v>
      </c>
      <c r="W113">
        <v>32</v>
      </c>
      <c r="X113">
        <v>33</v>
      </c>
      <c r="Y113">
        <v>34</v>
      </c>
      <c r="Z113">
        <v>34</v>
      </c>
      <c r="AA113">
        <v>35</v>
      </c>
      <c r="AB113">
        <v>35</v>
      </c>
      <c r="AC113">
        <v>36</v>
      </c>
      <c r="AD113">
        <v>37</v>
      </c>
      <c r="AE113">
        <v>37</v>
      </c>
      <c r="AF113">
        <v>38</v>
      </c>
      <c r="AG113">
        <v>39</v>
      </c>
      <c r="AH113">
        <v>39</v>
      </c>
      <c r="AI113">
        <v>40</v>
      </c>
      <c r="AJ113">
        <v>41</v>
      </c>
    </row>
    <row r="114" spans="1:36" x14ac:dyDescent="0.25">
      <c r="A114" s="24"/>
      <c r="B114">
        <v>200</v>
      </c>
      <c r="C114">
        <v>20</v>
      </c>
      <c r="D114">
        <v>20</v>
      </c>
      <c r="E114">
        <v>21</v>
      </c>
      <c r="F114">
        <v>22</v>
      </c>
      <c r="G114">
        <v>22</v>
      </c>
      <c r="H114">
        <v>23</v>
      </c>
      <c r="I114">
        <v>23</v>
      </c>
      <c r="J114">
        <v>24</v>
      </c>
      <c r="K114">
        <v>25</v>
      </c>
      <c r="L114">
        <v>25</v>
      </c>
      <c r="M114">
        <v>26</v>
      </c>
      <c r="N114">
        <v>27</v>
      </c>
      <c r="O114">
        <v>27</v>
      </c>
      <c r="P114">
        <v>28</v>
      </c>
      <c r="Q114">
        <v>28</v>
      </c>
      <c r="R114">
        <v>29</v>
      </c>
      <c r="S114">
        <v>30</v>
      </c>
      <c r="T114">
        <v>30</v>
      </c>
      <c r="U114">
        <v>31</v>
      </c>
      <c r="V114">
        <v>32</v>
      </c>
      <c r="W114">
        <v>32</v>
      </c>
      <c r="X114">
        <v>33</v>
      </c>
      <c r="Y114">
        <v>34</v>
      </c>
      <c r="Z114">
        <v>34</v>
      </c>
      <c r="AA114">
        <v>35</v>
      </c>
      <c r="AB114">
        <v>35</v>
      </c>
      <c r="AC114">
        <v>36</v>
      </c>
      <c r="AD114">
        <v>37</v>
      </c>
      <c r="AE114">
        <v>37</v>
      </c>
      <c r="AF114">
        <v>38</v>
      </c>
      <c r="AG114">
        <v>39</v>
      </c>
      <c r="AH114">
        <v>39</v>
      </c>
      <c r="AI114">
        <v>40</v>
      </c>
      <c r="AJ114">
        <v>41</v>
      </c>
    </row>
    <row r="115" spans="1:36" x14ac:dyDescent="0.25">
      <c r="A115" s="24"/>
      <c r="B115">
        <v>201</v>
      </c>
      <c r="C115">
        <v>20</v>
      </c>
      <c r="D115">
        <v>20</v>
      </c>
      <c r="E115">
        <v>21</v>
      </c>
      <c r="F115">
        <v>21</v>
      </c>
      <c r="G115">
        <v>22</v>
      </c>
      <c r="H115">
        <v>23</v>
      </c>
      <c r="I115">
        <v>23</v>
      </c>
      <c r="J115">
        <v>24</v>
      </c>
      <c r="K115">
        <v>25</v>
      </c>
      <c r="L115">
        <v>25</v>
      </c>
      <c r="M115">
        <v>26</v>
      </c>
      <c r="N115">
        <v>27</v>
      </c>
      <c r="O115">
        <v>27</v>
      </c>
      <c r="P115">
        <v>28</v>
      </c>
      <c r="Q115">
        <v>28</v>
      </c>
      <c r="R115">
        <v>29</v>
      </c>
      <c r="S115">
        <v>30</v>
      </c>
      <c r="T115">
        <v>30</v>
      </c>
      <c r="U115">
        <v>31</v>
      </c>
      <c r="V115">
        <v>32</v>
      </c>
      <c r="W115">
        <v>32</v>
      </c>
      <c r="X115">
        <v>33</v>
      </c>
      <c r="Y115">
        <v>34</v>
      </c>
      <c r="Z115">
        <v>34</v>
      </c>
      <c r="AA115">
        <v>35</v>
      </c>
      <c r="AB115">
        <v>35</v>
      </c>
      <c r="AC115">
        <v>36</v>
      </c>
      <c r="AD115">
        <v>37</v>
      </c>
      <c r="AE115">
        <v>37</v>
      </c>
      <c r="AF115">
        <v>38</v>
      </c>
      <c r="AG115">
        <v>39</v>
      </c>
      <c r="AH115">
        <v>39</v>
      </c>
      <c r="AI115">
        <v>40</v>
      </c>
      <c r="AJ115">
        <v>41</v>
      </c>
    </row>
    <row r="116" spans="1:36" x14ac:dyDescent="0.25">
      <c r="A116" s="24"/>
      <c r="B116">
        <v>202</v>
      </c>
      <c r="C116">
        <v>20</v>
      </c>
      <c r="D116">
        <v>20</v>
      </c>
      <c r="E116">
        <v>21</v>
      </c>
      <c r="F116">
        <v>21</v>
      </c>
      <c r="G116">
        <v>22</v>
      </c>
      <c r="H116">
        <v>23</v>
      </c>
      <c r="I116">
        <v>23</v>
      </c>
      <c r="J116">
        <v>24</v>
      </c>
      <c r="K116">
        <v>25</v>
      </c>
      <c r="L116">
        <v>25</v>
      </c>
      <c r="M116">
        <v>26</v>
      </c>
      <c r="N116">
        <v>27</v>
      </c>
      <c r="O116">
        <v>27</v>
      </c>
      <c r="P116">
        <v>28</v>
      </c>
      <c r="Q116">
        <v>28</v>
      </c>
      <c r="R116">
        <v>29</v>
      </c>
      <c r="S116">
        <v>30</v>
      </c>
      <c r="T116">
        <v>30</v>
      </c>
      <c r="U116">
        <v>31</v>
      </c>
      <c r="V116">
        <v>32</v>
      </c>
      <c r="W116">
        <v>32</v>
      </c>
      <c r="X116">
        <v>33</v>
      </c>
      <c r="Y116">
        <v>34</v>
      </c>
      <c r="Z116">
        <v>34</v>
      </c>
      <c r="AA116">
        <v>35</v>
      </c>
      <c r="AB116">
        <v>35</v>
      </c>
      <c r="AC116">
        <v>36</v>
      </c>
      <c r="AD116">
        <v>37</v>
      </c>
      <c r="AE116">
        <v>37</v>
      </c>
      <c r="AF116">
        <v>38</v>
      </c>
      <c r="AG116">
        <v>39</v>
      </c>
      <c r="AH116">
        <v>39</v>
      </c>
      <c r="AI116">
        <v>40</v>
      </c>
      <c r="AJ116">
        <v>41</v>
      </c>
    </row>
    <row r="117" spans="1:36" x14ac:dyDescent="0.25">
      <c r="A117" s="24"/>
      <c r="B117">
        <v>203</v>
      </c>
      <c r="C117">
        <v>20</v>
      </c>
      <c r="D117">
        <v>20</v>
      </c>
      <c r="E117">
        <v>21</v>
      </c>
      <c r="F117">
        <v>21</v>
      </c>
      <c r="G117">
        <v>22</v>
      </c>
      <c r="H117">
        <v>23</v>
      </c>
      <c r="I117">
        <v>23</v>
      </c>
      <c r="J117">
        <v>24</v>
      </c>
      <c r="K117">
        <v>25</v>
      </c>
      <c r="L117">
        <v>25</v>
      </c>
      <c r="M117">
        <v>26</v>
      </c>
      <c r="N117">
        <v>27</v>
      </c>
      <c r="O117">
        <v>27</v>
      </c>
      <c r="P117">
        <v>28</v>
      </c>
      <c r="Q117">
        <v>28</v>
      </c>
      <c r="R117">
        <v>29</v>
      </c>
      <c r="S117">
        <v>30</v>
      </c>
      <c r="T117">
        <v>30</v>
      </c>
      <c r="U117">
        <v>31</v>
      </c>
      <c r="V117">
        <v>32</v>
      </c>
      <c r="W117">
        <v>32</v>
      </c>
      <c r="X117">
        <v>33</v>
      </c>
      <c r="Y117">
        <v>34</v>
      </c>
      <c r="Z117">
        <v>34</v>
      </c>
      <c r="AA117">
        <v>35</v>
      </c>
      <c r="AB117">
        <v>35</v>
      </c>
      <c r="AC117">
        <v>36</v>
      </c>
      <c r="AD117">
        <v>37</v>
      </c>
      <c r="AE117">
        <v>37</v>
      </c>
      <c r="AF117">
        <v>38</v>
      </c>
      <c r="AG117">
        <v>39</v>
      </c>
      <c r="AH117">
        <v>39</v>
      </c>
      <c r="AI117">
        <v>40</v>
      </c>
      <c r="AJ117">
        <v>41</v>
      </c>
    </row>
    <row r="118" spans="1:36" x14ac:dyDescent="0.25">
      <c r="A118" s="24"/>
      <c r="B118">
        <v>204</v>
      </c>
      <c r="C118">
        <v>20</v>
      </c>
      <c r="D118">
        <v>20</v>
      </c>
      <c r="E118">
        <v>21</v>
      </c>
      <c r="F118">
        <v>21</v>
      </c>
      <c r="G118">
        <v>22</v>
      </c>
      <c r="H118">
        <v>23</v>
      </c>
      <c r="I118">
        <v>23</v>
      </c>
      <c r="J118">
        <v>24</v>
      </c>
      <c r="K118">
        <v>25</v>
      </c>
      <c r="L118">
        <v>25</v>
      </c>
      <c r="M118">
        <v>26</v>
      </c>
      <c r="N118">
        <v>27</v>
      </c>
      <c r="O118">
        <v>2</v>
      </c>
      <c r="P118">
        <v>28</v>
      </c>
      <c r="Q118">
        <v>28</v>
      </c>
      <c r="R118">
        <v>29</v>
      </c>
      <c r="S118">
        <v>30</v>
      </c>
      <c r="T118">
        <v>30</v>
      </c>
      <c r="U118">
        <v>31</v>
      </c>
      <c r="V118">
        <v>32</v>
      </c>
      <c r="W118">
        <v>32</v>
      </c>
      <c r="X118">
        <v>33</v>
      </c>
      <c r="Y118">
        <v>34</v>
      </c>
      <c r="Z118">
        <v>34</v>
      </c>
      <c r="AA118">
        <v>35</v>
      </c>
      <c r="AB118">
        <v>35</v>
      </c>
      <c r="AC118">
        <v>36</v>
      </c>
      <c r="AD118">
        <v>37</v>
      </c>
      <c r="AE118">
        <v>37</v>
      </c>
      <c r="AF118">
        <v>38</v>
      </c>
      <c r="AG118">
        <v>39</v>
      </c>
      <c r="AH118">
        <v>39</v>
      </c>
      <c r="AI118">
        <v>40</v>
      </c>
      <c r="AJ118">
        <v>40</v>
      </c>
    </row>
    <row r="119" spans="1:36" x14ac:dyDescent="0.25">
      <c r="A119" s="24"/>
      <c r="B119">
        <v>205</v>
      </c>
      <c r="C119">
        <v>20</v>
      </c>
      <c r="D119">
        <v>20</v>
      </c>
      <c r="E119">
        <v>21</v>
      </c>
      <c r="F119">
        <v>21</v>
      </c>
      <c r="G119">
        <v>22</v>
      </c>
      <c r="H119">
        <v>23</v>
      </c>
      <c r="I119">
        <v>23</v>
      </c>
      <c r="J119">
        <v>24</v>
      </c>
      <c r="K119">
        <v>25</v>
      </c>
      <c r="L119">
        <v>25</v>
      </c>
      <c r="M119">
        <v>26</v>
      </c>
      <c r="N119">
        <v>27</v>
      </c>
      <c r="O119">
        <v>27</v>
      </c>
      <c r="P119">
        <v>28</v>
      </c>
      <c r="Q119">
        <v>28</v>
      </c>
      <c r="R119">
        <v>29</v>
      </c>
      <c r="S119">
        <v>30</v>
      </c>
      <c r="T119">
        <v>30</v>
      </c>
      <c r="U119">
        <v>31</v>
      </c>
      <c r="V119">
        <v>32</v>
      </c>
      <c r="W119">
        <v>32</v>
      </c>
      <c r="X119">
        <v>33</v>
      </c>
      <c r="Y119">
        <v>33</v>
      </c>
      <c r="Z119">
        <v>34</v>
      </c>
      <c r="AA119">
        <v>35</v>
      </c>
      <c r="AB119">
        <v>35</v>
      </c>
      <c r="AC119">
        <v>36</v>
      </c>
      <c r="AD119">
        <v>37</v>
      </c>
      <c r="AE119">
        <v>37</v>
      </c>
      <c r="AF119">
        <v>38</v>
      </c>
      <c r="AG119">
        <v>39</v>
      </c>
      <c r="AH119">
        <v>39</v>
      </c>
      <c r="AI119">
        <v>40</v>
      </c>
      <c r="AJ119">
        <v>40</v>
      </c>
    </row>
    <row r="120" spans="1:36" x14ac:dyDescent="0.25">
      <c r="A120" s="24"/>
      <c r="B120">
        <v>206</v>
      </c>
      <c r="C120">
        <v>20</v>
      </c>
      <c r="D120">
        <v>20</v>
      </c>
      <c r="E120">
        <v>21</v>
      </c>
      <c r="F120">
        <v>21</v>
      </c>
      <c r="G120">
        <v>22</v>
      </c>
      <c r="H120">
        <v>23</v>
      </c>
      <c r="I120">
        <v>23</v>
      </c>
      <c r="J120">
        <v>24</v>
      </c>
      <c r="K120">
        <v>25</v>
      </c>
      <c r="L120">
        <v>25</v>
      </c>
      <c r="M120">
        <v>26</v>
      </c>
      <c r="N120">
        <v>26</v>
      </c>
      <c r="O120">
        <v>27</v>
      </c>
      <c r="P120">
        <v>28</v>
      </c>
      <c r="Q120">
        <v>28</v>
      </c>
      <c r="R120">
        <v>29</v>
      </c>
      <c r="S120">
        <v>30</v>
      </c>
      <c r="T120">
        <v>30</v>
      </c>
      <c r="U120">
        <v>31</v>
      </c>
      <c r="V120">
        <v>32</v>
      </c>
      <c r="W120">
        <v>32</v>
      </c>
      <c r="X120">
        <v>33</v>
      </c>
      <c r="Y120">
        <v>33</v>
      </c>
      <c r="Z120">
        <v>34</v>
      </c>
      <c r="AA120">
        <v>35</v>
      </c>
      <c r="AB120">
        <v>35</v>
      </c>
      <c r="AC120">
        <v>36</v>
      </c>
      <c r="AD120">
        <v>37</v>
      </c>
      <c r="AE120">
        <v>37</v>
      </c>
      <c r="AF120">
        <v>38</v>
      </c>
      <c r="AG120">
        <v>39</v>
      </c>
      <c r="AH120">
        <v>39</v>
      </c>
      <c r="AI120">
        <v>40</v>
      </c>
      <c r="AJ120">
        <v>40</v>
      </c>
    </row>
    <row r="121" spans="1:36" x14ac:dyDescent="0.25">
      <c r="A121" s="24"/>
      <c r="B121">
        <v>207</v>
      </c>
      <c r="C121">
        <v>19</v>
      </c>
      <c r="D121">
        <v>20</v>
      </c>
      <c r="E121">
        <v>21</v>
      </c>
      <c r="F121">
        <v>21</v>
      </c>
      <c r="G121">
        <v>22</v>
      </c>
      <c r="H121">
        <v>23</v>
      </c>
      <c r="I121">
        <v>23</v>
      </c>
      <c r="J121">
        <v>24</v>
      </c>
      <c r="K121">
        <v>25</v>
      </c>
      <c r="L121">
        <v>25</v>
      </c>
      <c r="M121">
        <v>26</v>
      </c>
      <c r="N121">
        <v>26</v>
      </c>
      <c r="O121">
        <v>27</v>
      </c>
      <c r="P121">
        <v>28</v>
      </c>
      <c r="Q121">
        <v>28</v>
      </c>
      <c r="R121">
        <v>29</v>
      </c>
      <c r="S121">
        <v>30</v>
      </c>
      <c r="T121">
        <v>30</v>
      </c>
      <c r="U121">
        <v>31</v>
      </c>
      <c r="V121">
        <v>32</v>
      </c>
      <c r="W121">
        <v>32</v>
      </c>
      <c r="X121">
        <v>33</v>
      </c>
      <c r="Y121">
        <v>33</v>
      </c>
      <c r="Z121">
        <v>34</v>
      </c>
      <c r="AA121">
        <v>35</v>
      </c>
      <c r="AB121">
        <v>35</v>
      </c>
      <c r="AC121">
        <v>36</v>
      </c>
      <c r="AD121">
        <v>37</v>
      </c>
      <c r="AE121">
        <v>37</v>
      </c>
      <c r="AF121">
        <v>38</v>
      </c>
      <c r="AG121">
        <v>39</v>
      </c>
      <c r="AH121">
        <v>39</v>
      </c>
      <c r="AI121">
        <v>40</v>
      </c>
      <c r="AJ121">
        <v>40</v>
      </c>
    </row>
    <row r="122" spans="1:36" x14ac:dyDescent="0.25">
      <c r="A122" s="24"/>
      <c r="B122">
        <v>208</v>
      </c>
      <c r="C122">
        <v>19</v>
      </c>
      <c r="D122">
        <v>20</v>
      </c>
      <c r="E122">
        <v>21</v>
      </c>
      <c r="F122">
        <v>21</v>
      </c>
      <c r="G122">
        <v>22</v>
      </c>
      <c r="H122">
        <v>23</v>
      </c>
      <c r="I122">
        <v>23</v>
      </c>
      <c r="J122">
        <v>24</v>
      </c>
      <c r="K122">
        <v>25</v>
      </c>
      <c r="L122">
        <v>25</v>
      </c>
      <c r="M122">
        <v>26</v>
      </c>
      <c r="N122">
        <v>26</v>
      </c>
      <c r="O122">
        <v>27</v>
      </c>
      <c r="P122">
        <v>28</v>
      </c>
      <c r="Q122">
        <v>28</v>
      </c>
      <c r="R122">
        <v>29</v>
      </c>
      <c r="S122">
        <v>30</v>
      </c>
      <c r="T122">
        <v>30</v>
      </c>
      <c r="U122">
        <v>31</v>
      </c>
      <c r="V122">
        <v>32</v>
      </c>
      <c r="W122">
        <v>32</v>
      </c>
      <c r="X122">
        <v>33</v>
      </c>
      <c r="Y122">
        <v>33</v>
      </c>
      <c r="Z122">
        <v>34</v>
      </c>
      <c r="AA122">
        <v>35</v>
      </c>
      <c r="AB122">
        <v>35</v>
      </c>
      <c r="AC122">
        <v>36</v>
      </c>
      <c r="AD122">
        <v>37</v>
      </c>
      <c r="AE122">
        <v>37</v>
      </c>
      <c r="AF122">
        <v>38</v>
      </c>
      <c r="AG122">
        <v>39</v>
      </c>
      <c r="AH122">
        <v>39</v>
      </c>
      <c r="AI122">
        <v>40</v>
      </c>
      <c r="AJ122">
        <v>40</v>
      </c>
    </row>
    <row r="123" spans="1:36" x14ac:dyDescent="0.25">
      <c r="A123" s="24"/>
      <c r="B123">
        <v>209</v>
      </c>
      <c r="C123">
        <v>19</v>
      </c>
      <c r="D123">
        <v>20</v>
      </c>
      <c r="E123">
        <v>21</v>
      </c>
      <c r="F123">
        <v>21</v>
      </c>
      <c r="G123">
        <v>22</v>
      </c>
      <c r="H123">
        <v>23</v>
      </c>
      <c r="I123">
        <v>23</v>
      </c>
      <c r="J123">
        <v>24</v>
      </c>
      <c r="K123">
        <v>25</v>
      </c>
      <c r="L123">
        <v>25</v>
      </c>
      <c r="M123">
        <v>26</v>
      </c>
      <c r="N123">
        <v>26</v>
      </c>
      <c r="O123">
        <v>27</v>
      </c>
      <c r="P123">
        <v>28</v>
      </c>
      <c r="Q123">
        <v>28</v>
      </c>
      <c r="R123">
        <v>29</v>
      </c>
      <c r="S123">
        <v>30</v>
      </c>
      <c r="T123">
        <v>30</v>
      </c>
      <c r="U123">
        <v>31</v>
      </c>
      <c r="V123">
        <v>32</v>
      </c>
      <c r="W123">
        <v>32</v>
      </c>
      <c r="X123">
        <v>33</v>
      </c>
      <c r="Y123">
        <v>33</v>
      </c>
      <c r="Z123">
        <v>34</v>
      </c>
      <c r="AA123">
        <v>35</v>
      </c>
      <c r="AB123">
        <v>35</v>
      </c>
      <c r="AC123">
        <v>36</v>
      </c>
      <c r="AD123">
        <v>37</v>
      </c>
      <c r="AE123">
        <v>37</v>
      </c>
      <c r="AF123">
        <v>38</v>
      </c>
      <c r="AG123">
        <v>39</v>
      </c>
      <c r="AH123">
        <v>39</v>
      </c>
      <c r="AI123">
        <v>40</v>
      </c>
      <c r="AJ123">
        <v>40</v>
      </c>
    </row>
    <row r="124" spans="1:36" x14ac:dyDescent="0.25">
      <c r="A124" s="24"/>
      <c r="B124">
        <v>210</v>
      </c>
      <c r="C124">
        <v>19</v>
      </c>
      <c r="D124">
        <v>20</v>
      </c>
      <c r="E124">
        <v>21</v>
      </c>
      <c r="F124">
        <v>21</v>
      </c>
      <c r="G124">
        <v>22</v>
      </c>
      <c r="H124">
        <v>23</v>
      </c>
      <c r="I124">
        <v>23</v>
      </c>
      <c r="J124">
        <v>24</v>
      </c>
      <c r="K124">
        <v>25</v>
      </c>
      <c r="L124">
        <v>25</v>
      </c>
      <c r="M124">
        <v>26</v>
      </c>
      <c r="N124">
        <v>26</v>
      </c>
      <c r="O124">
        <v>27</v>
      </c>
      <c r="P124">
        <v>28</v>
      </c>
      <c r="Q124">
        <v>28</v>
      </c>
      <c r="R124">
        <v>29</v>
      </c>
      <c r="S124">
        <v>30</v>
      </c>
      <c r="T124">
        <v>30</v>
      </c>
      <c r="U124">
        <v>31</v>
      </c>
      <c r="V124">
        <v>32</v>
      </c>
      <c r="W124">
        <v>32</v>
      </c>
      <c r="X124">
        <v>33</v>
      </c>
      <c r="Y124">
        <v>33</v>
      </c>
      <c r="Z124">
        <v>34</v>
      </c>
      <c r="AA124">
        <v>35</v>
      </c>
      <c r="AB124">
        <v>35</v>
      </c>
      <c r="AC124">
        <v>36</v>
      </c>
      <c r="AD124">
        <v>37</v>
      </c>
      <c r="AE124">
        <v>37</v>
      </c>
      <c r="AF124">
        <v>38</v>
      </c>
      <c r="AG124">
        <v>38</v>
      </c>
      <c r="AH124">
        <v>39</v>
      </c>
      <c r="AI124">
        <v>40</v>
      </c>
      <c r="AJ124">
        <v>40</v>
      </c>
    </row>
    <row r="125" spans="1:36" x14ac:dyDescent="0.25">
      <c r="A125" s="24"/>
      <c r="B125">
        <v>211</v>
      </c>
      <c r="C125">
        <v>19</v>
      </c>
      <c r="D125">
        <v>20</v>
      </c>
      <c r="E125">
        <v>21</v>
      </c>
      <c r="F125">
        <v>21</v>
      </c>
      <c r="G125">
        <v>22</v>
      </c>
      <c r="H125">
        <v>23</v>
      </c>
      <c r="I125">
        <v>23</v>
      </c>
      <c r="J125">
        <v>24</v>
      </c>
      <c r="K125">
        <v>25</v>
      </c>
      <c r="L125">
        <v>25</v>
      </c>
      <c r="M125">
        <v>26</v>
      </c>
      <c r="N125">
        <v>26</v>
      </c>
      <c r="O125">
        <v>27</v>
      </c>
      <c r="P125">
        <v>28</v>
      </c>
      <c r="Q125">
        <v>28</v>
      </c>
      <c r="R125">
        <v>29</v>
      </c>
      <c r="S125">
        <v>30</v>
      </c>
      <c r="T125">
        <v>30</v>
      </c>
      <c r="U125">
        <v>31</v>
      </c>
      <c r="V125">
        <v>31</v>
      </c>
      <c r="W125">
        <v>32</v>
      </c>
      <c r="X125">
        <v>33</v>
      </c>
      <c r="Y125">
        <v>33</v>
      </c>
      <c r="Z125">
        <v>34</v>
      </c>
      <c r="AA125">
        <v>35</v>
      </c>
      <c r="AB125">
        <v>35</v>
      </c>
      <c r="AC125">
        <v>36</v>
      </c>
      <c r="AD125">
        <v>37</v>
      </c>
      <c r="AE125">
        <v>37</v>
      </c>
      <c r="AF125">
        <v>38</v>
      </c>
      <c r="AG125">
        <v>38</v>
      </c>
      <c r="AH125">
        <v>39</v>
      </c>
      <c r="AI125">
        <v>40</v>
      </c>
      <c r="AJ125">
        <v>40</v>
      </c>
    </row>
    <row r="126" spans="1:36" x14ac:dyDescent="0.25">
      <c r="A126" s="24"/>
      <c r="B126">
        <v>212</v>
      </c>
      <c r="C126">
        <v>19</v>
      </c>
      <c r="D126">
        <v>20</v>
      </c>
      <c r="E126">
        <v>21</v>
      </c>
      <c r="F126">
        <v>21</v>
      </c>
      <c r="G126">
        <v>22</v>
      </c>
      <c r="H126">
        <v>23</v>
      </c>
      <c r="I126">
        <v>23</v>
      </c>
      <c r="J126">
        <v>24</v>
      </c>
      <c r="K126">
        <v>24</v>
      </c>
      <c r="L126">
        <v>25</v>
      </c>
      <c r="M126">
        <v>26</v>
      </c>
      <c r="N126">
        <v>26</v>
      </c>
      <c r="O126">
        <v>27</v>
      </c>
      <c r="P126">
        <v>28</v>
      </c>
      <c r="Q126">
        <v>28</v>
      </c>
      <c r="R126">
        <v>29</v>
      </c>
      <c r="S126">
        <v>30</v>
      </c>
      <c r="T126">
        <v>30</v>
      </c>
      <c r="U126">
        <v>31</v>
      </c>
      <c r="V126">
        <v>31</v>
      </c>
      <c r="W126">
        <v>32</v>
      </c>
      <c r="X126">
        <v>33</v>
      </c>
      <c r="Y126">
        <v>33</v>
      </c>
      <c r="Z126">
        <v>34</v>
      </c>
      <c r="AA126">
        <v>35</v>
      </c>
      <c r="AB126">
        <v>35</v>
      </c>
      <c r="AC126">
        <v>36</v>
      </c>
      <c r="AD126">
        <v>37</v>
      </c>
      <c r="AE126">
        <v>37</v>
      </c>
      <c r="AF126">
        <v>38</v>
      </c>
      <c r="AG126">
        <v>38</v>
      </c>
      <c r="AH126">
        <v>39</v>
      </c>
      <c r="AI126">
        <v>40</v>
      </c>
      <c r="AJ126">
        <v>40</v>
      </c>
    </row>
    <row r="127" spans="1:36" x14ac:dyDescent="0.25">
      <c r="A127" s="24"/>
      <c r="B127">
        <v>213</v>
      </c>
      <c r="C127">
        <v>19</v>
      </c>
      <c r="D127">
        <v>20</v>
      </c>
      <c r="E127">
        <v>21</v>
      </c>
      <c r="F127">
        <v>21</v>
      </c>
      <c r="G127">
        <v>22</v>
      </c>
      <c r="H127">
        <v>23</v>
      </c>
      <c r="I127">
        <v>23</v>
      </c>
      <c r="J127">
        <v>24</v>
      </c>
      <c r="K127">
        <v>24</v>
      </c>
      <c r="L127">
        <v>25</v>
      </c>
      <c r="M127">
        <v>26</v>
      </c>
      <c r="N127">
        <v>26</v>
      </c>
      <c r="O127">
        <v>27</v>
      </c>
      <c r="P127">
        <v>28</v>
      </c>
      <c r="Q127">
        <v>28</v>
      </c>
      <c r="R127">
        <v>29</v>
      </c>
      <c r="S127">
        <v>30</v>
      </c>
      <c r="T127">
        <v>30</v>
      </c>
      <c r="U127">
        <v>31</v>
      </c>
      <c r="V127">
        <v>31</v>
      </c>
      <c r="W127">
        <v>32</v>
      </c>
      <c r="X127">
        <v>33</v>
      </c>
      <c r="Y127">
        <v>33</v>
      </c>
      <c r="Z127">
        <v>34</v>
      </c>
      <c r="AA127">
        <v>35</v>
      </c>
      <c r="AB127">
        <v>35</v>
      </c>
      <c r="AC127">
        <v>36</v>
      </c>
      <c r="AD127">
        <v>37</v>
      </c>
      <c r="AE127">
        <v>37</v>
      </c>
      <c r="AF127">
        <v>38</v>
      </c>
      <c r="AG127">
        <v>38</v>
      </c>
      <c r="AH127">
        <v>39</v>
      </c>
      <c r="AI127">
        <v>40</v>
      </c>
      <c r="AJ127">
        <v>40</v>
      </c>
    </row>
    <row r="128" spans="1:36" x14ac:dyDescent="0.25">
      <c r="A128" s="24"/>
      <c r="B128">
        <v>214</v>
      </c>
      <c r="C128">
        <v>19</v>
      </c>
      <c r="D128">
        <v>20</v>
      </c>
      <c r="E128">
        <v>21</v>
      </c>
      <c r="F128">
        <v>21</v>
      </c>
      <c r="G128">
        <v>22</v>
      </c>
      <c r="H128">
        <v>23</v>
      </c>
      <c r="I128">
        <v>23</v>
      </c>
      <c r="J128">
        <v>24</v>
      </c>
      <c r="K128">
        <v>24</v>
      </c>
      <c r="L128">
        <v>25</v>
      </c>
      <c r="M128">
        <v>26</v>
      </c>
      <c r="N128">
        <v>26</v>
      </c>
      <c r="O128">
        <v>27</v>
      </c>
      <c r="P128">
        <v>28</v>
      </c>
      <c r="Q128">
        <v>28</v>
      </c>
      <c r="R128">
        <v>29</v>
      </c>
      <c r="S128">
        <v>30</v>
      </c>
      <c r="T128">
        <v>30</v>
      </c>
      <c r="U128">
        <v>31</v>
      </c>
      <c r="V128">
        <v>31</v>
      </c>
      <c r="W128">
        <v>32</v>
      </c>
      <c r="X128">
        <v>33</v>
      </c>
      <c r="Y128">
        <v>33</v>
      </c>
      <c r="Z128">
        <v>34</v>
      </c>
      <c r="AA128">
        <v>35</v>
      </c>
      <c r="AB128">
        <v>35</v>
      </c>
      <c r="AC128">
        <v>36</v>
      </c>
      <c r="AD128">
        <v>37</v>
      </c>
      <c r="AE128">
        <v>37</v>
      </c>
      <c r="AF128">
        <v>38</v>
      </c>
      <c r="AG128">
        <v>38</v>
      </c>
      <c r="AH128">
        <v>39</v>
      </c>
      <c r="AI128">
        <v>40</v>
      </c>
      <c r="AJ128">
        <v>40</v>
      </c>
    </row>
    <row r="129" spans="1:36" x14ac:dyDescent="0.25">
      <c r="A129" s="24"/>
      <c r="B129">
        <v>215</v>
      </c>
      <c r="C129">
        <v>19</v>
      </c>
      <c r="D129">
        <v>20</v>
      </c>
      <c r="E129">
        <v>21</v>
      </c>
      <c r="F129">
        <v>21</v>
      </c>
      <c r="G129">
        <v>22</v>
      </c>
      <c r="H129">
        <v>23</v>
      </c>
      <c r="I129">
        <v>23</v>
      </c>
      <c r="J129">
        <v>24</v>
      </c>
      <c r="K129">
        <v>24</v>
      </c>
      <c r="L129">
        <v>25</v>
      </c>
      <c r="M129">
        <v>26</v>
      </c>
      <c r="N129">
        <v>26</v>
      </c>
      <c r="O129">
        <v>27</v>
      </c>
      <c r="P129">
        <v>28</v>
      </c>
      <c r="Q129">
        <v>28</v>
      </c>
      <c r="R129">
        <v>29</v>
      </c>
      <c r="S129">
        <v>30</v>
      </c>
      <c r="T129">
        <v>30</v>
      </c>
      <c r="U129">
        <v>31</v>
      </c>
      <c r="V129">
        <v>31</v>
      </c>
      <c r="W129">
        <v>32</v>
      </c>
      <c r="X129">
        <v>33</v>
      </c>
      <c r="Y129">
        <v>33</v>
      </c>
      <c r="Z129">
        <v>34</v>
      </c>
      <c r="AA129">
        <v>35</v>
      </c>
      <c r="AB129">
        <v>35</v>
      </c>
      <c r="AC129">
        <v>36</v>
      </c>
      <c r="AD129">
        <v>37</v>
      </c>
      <c r="AE129">
        <v>37</v>
      </c>
      <c r="AF129">
        <v>38</v>
      </c>
      <c r="AG129">
        <v>38</v>
      </c>
      <c r="AH129">
        <v>39</v>
      </c>
      <c r="AI129">
        <v>40</v>
      </c>
      <c r="AJ129">
        <v>40</v>
      </c>
    </row>
    <row r="130" spans="1:36" x14ac:dyDescent="0.25">
      <c r="A130" s="24"/>
      <c r="B130">
        <v>216</v>
      </c>
      <c r="C130">
        <v>19</v>
      </c>
      <c r="D130">
        <v>20</v>
      </c>
      <c r="E130">
        <v>21</v>
      </c>
      <c r="F130">
        <v>21</v>
      </c>
      <c r="G130">
        <v>22</v>
      </c>
      <c r="H130">
        <v>23</v>
      </c>
      <c r="I130">
        <v>23</v>
      </c>
      <c r="J130">
        <v>24</v>
      </c>
      <c r="K130">
        <v>24</v>
      </c>
      <c r="L130">
        <v>25</v>
      </c>
      <c r="M130">
        <v>26</v>
      </c>
      <c r="N130">
        <v>26</v>
      </c>
      <c r="O130">
        <v>27</v>
      </c>
      <c r="P130">
        <v>28</v>
      </c>
      <c r="Q130">
        <v>28</v>
      </c>
      <c r="R130">
        <v>29</v>
      </c>
      <c r="S130">
        <v>30</v>
      </c>
      <c r="T130">
        <v>30</v>
      </c>
      <c r="U130">
        <v>31</v>
      </c>
      <c r="V130">
        <v>31</v>
      </c>
      <c r="W130">
        <v>32</v>
      </c>
      <c r="X130">
        <v>33</v>
      </c>
      <c r="Y130">
        <v>33</v>
      </c>
      <c r="Z130">
        <v>34</v>
      </c>
      <c r="AA130">
        <v>35</v>
      </c>
      <c r="AB130">
        <v>35</v>
      </c>
      <c r="AC130">
        <v>36</v>
      </c>
      <c r="AD130">
        <v>37</v>
      </c>
      <c r="AE130">
        <v>37</v>
      </c>
      <c r="AF130">
        <v>38</v>
      </c>
      <c r="AG130">
        <v>38</v>
      </c>
      <c r="AH130">
        <v>39</v>
      </c>
      <c r="AI130">
        <v>40</v>
      </c>
      <c r="AJ130">
        <v>40</v>
      </c>
    </row>
    <row r="131" spans="1:36" x14ac:dyDescent="0.25">
      <c r="A131" s="24"/>
      <c r="B131">
        <v>217</v>
      </c>
      <c r="C131">
        <v>19</v>
      </c>
      <c r="D131">
        <v>20</v>
      </c>
      <c r="E131">
        <v>21</v>
      </c>
      <c r="F131">
        <v>21</v>
      </c>
      <c r="G131">
        <v>22</v>
      </c>
      <c r="H131">
        <v>23</v>
      </c>
      <c r="I131">
        <v>23</v>
      </c>
      <c r="J131">
        <v>24</v>
      </c>
      <c r="K131">
        <v>24</v>
      </c>
      <c r="L131">
        <v>25</v>
      </c>
      <c r="M131">
        <v>26</v>
      </c>
      <c r="N131">
        <v>26</v>
      </c>
      <c r="O131">
        <v>27</v>
      </c>
      <c r="P131">
        <v>28</v>
      </c>
      <c r="Q131">
        <v>28</v>
      </c>
      <c r="R131">
        <v>29</v>
      </c>
      <c r="S131">
        <v>30</v>
      </c>
      <c r="T131">
        <v>30</v>
      </c>
      <c r="U131">
        <v>31</v>
      </c>
      <c r="V131">
        <v>31</v>
      </c>
      <c r="W131">
        <v>32</v>
      </c>
      <c r="X131">
        <v>33</v>
      </c>
      <c r="Y131">
        <v>33</v>
      </c>
      <c r="Z131">
        <v>34</v>
      </c>
      <c r="AA131">
        <v>35</v>
      </c>
      <c r="AB131">
        <v>35</v>
      </c>
      <c r="AC131">
        <v>36</v>
      </c>
      <c r="AD131">
        <v>36</v>
      </c>
      <c r="AE131">
        <v>37</v>
      </c>
      <c r="AF131">
        <v>38</v>
      </c>
      <c r="AG131">
        <v>38</v>
      </c>
      <c r="AH131">
        <v>39</v>
      </c>
      <c r="AI131">
        <v>40</v>
      </c>
      <c r="AJ131">
        <v>40</v>
      </c>
    </row>
    <row r="132" spans="1:36" x14ac:dyDescent="0.25">
      <c r="A132" s="24"/>
      <c r="B132">
        <v>218</v>
      </c>
      <c r="C132">
        <v>19</v>
      </c>
      <c r="D132">
        <v>20</v>
      </c>
      <c r="E132">
        <v>21</v>
      </c>
      <c r="F132">
        <v>21</v>
      </c>
      <c r="G132">
        <v>22</v>
      </c>
      <c r="H132">
        <v>23</v>
      </c>
      <c r="I132">
        <v>23</v>
      </c>
      <c r="J132">
        <v>24</v>
      </c>
      <c r="K132">
        <v>24</v>
      </c>
      <c r="L132">
        <v>25</v>
      </c>
      <c r="M132">
        <v>26</v>
      </c>
      <c r="N132">
        <v>26</v>
      </c>
      <c r="O132">
        <v>27</v>
      </c>
      <c r="P132">
        <v>28</v>
      </c>
      <c r="Q132">
        <v>28</v>
      </c>
      <c r="R132">
        <v>29</v>
      </c>
      <c r="S132">
        <v>29</v>
      </c>
      <c r="T132">
        <v>30</v>
      </c>
      <c r="U132">
        <v>31</v>
      </c>
      <c r="V132">
        <v>31</v>
      </c>
      <c r="W132">
        <v>32</v>
      </c>
      <c r="X132">
        <v>33</v>
      </c>
      <c r="Y132">
        <v>33</v>
      </c>
      <c r="Z132">
        <v>34</v>
      </c>
      <c r="AA132">
        <v>35</v>
      </c>
      <c r="AB132">
        <v>35</v>
      </c>
      <c r="AC132">
        <v>36</v>
      </c>
      <c r="AD132">
        <v>36</v>
      </c>
      <c r="AE132">
        <v>37</v>
      </c>
      <c r="AF132">
        <v>38</v>
      </c>
      <c r="AG132">
        <v>38</v>
      </c>
      <c r="AH132">
        <v>39</v>
      </c>
      <c r="AI132">
        <v>40</v>
      </c>
      <c r="AJ132">
        <v>40</v>
      </c>
    </row>
    <row r="133" spans="1:36" x14ac:dyDescent="0.25">
      <c r="A133" s="24"/>
      <c r="B133">
        <v>219</v>
      </c>
      <c r="C133">
        <v>19</v>
      </c>
      <c r="D133">
        <v>20</v>
      </c>
      <c r="E133">
        <v>21</v>
      </c>
      <c r="F133">
        <v>21</v>
      </c>
      <c r="G133">
        <v>22</v>
      </c>
      <c r="H133">
        <v>22</v>
      </c>
      <c r="I133">
        <v>23</v>
      </c>
      <c r="J133">
        <v>24</v>
      </c>
      <c r="K133">
        <v>24</v>
      </c>
      <c r="L133">
        <v>25</v>
      </c>
      <c r="M133">
        <v>26</v>
      </c>
      <c r="N133">
        <v>26</v>
      </c>
      <c r="O133">
        <v>27</v>
      </c>
      <c r="P133">
        <v>28</v>
      </c>
      <c r="Q133">
        <v>28</v>
      </c>
      <c r="R133">
        <v>29</v>
      </c>
      <c r="S133">
        <v>29</v>
      </c>
      <c r="T133">
        <v>30</v>
      </c>
      <c r="U133">
        <v>31</v>
      </c>
      <c r="V133">
        <v>31</v>
      </c>
      <c r="W133">
        <v>32</v>
      </c>
      <c r="X133">
        <v>33</v>
      </c>
      <c r="Y133">
        <v>33</v>
      </c>
      <c r="Z133">
        <v>34</v>
      </c>
      <c r="AA133">
        <v>35</v>
      </c>
      <c r="AB133">
        <v>35</v>
      </c>
      <c r="AC133">
        <v>36</v>
      </c>
      <c r="AD133">
        <v>36</v>
      </c>
      <c r="AE133">
        <v>37</v>
      </c>
      <c r="AF133">
        <v>38</v>
      </c>
      <c r="AG133">
        <v>38</v>
      </c>
      <c r="AH133">
        <v>39</v>
      </c>
      <c r="AI133">
        <v>40</v>
      </c>
      <c r="AJ133">
        <v>40</v>
      </c>
    </row>
    <row r="134" spans="1:36" x14ac:dyDescent="0.25">
      <c r="A134" s="24"/>
      <c r="B134">
        <v>220</v>
      </c>
      <c r="C134">
        <v>19</v>
      </c>
      <c r="D134">
        <v>20</v>
      </c>
      <c r="E134">
        <v>21</v>
      </c>
      <c r="F134">
        <v>21</v>
      </c>
      <c r="G134">
        <v>22</v>
      </c>
      <c r="H134">
        <v>22</v>
      </c>
      <c r="I134">
        <v>23</v>
      </c>
      <c r="J134">
        <v>24</v>
      </c>
      <c r="K134">
        <v>24</v>
      </c>
      <c r="L134">
        <v>25</v>
      </c>
      <c r="M134">
        <v>26</v>
      </c>
      <c r="N134">
        <v>26</v>
      </c>
      <c r="O134">
        <v>27</v>
      </c>
      <c r="P134">
        <v>28</v>
      </c>
      <c r="Q134">
        <v>28</v>
      </c>
      <c r="R134">
        <v>29</v>
      </c>
      <c r="S134">
        <v>29</v>
      </c>
      <c r="T134">
        <v>30</v>
      </c>
      <c r="U134">
        <v>31</v>
      </c>
      <c r="V134">
        <v>31</v>
      </c>
      <c r="W134">
        <v>32</v>
      </c>
      <c r="X134">
        <v>33</v>
      </c>
      <c r="Y134">
        <v>33</v>
      </c>
      <c r="Z134">
        <v>34</v>
      </c>
      <c r="AA134">
        <v>35</v>
      </c>
      <c r="AB134">
        <v>35</v>
      </c>
      <c r="AC134">
        <v>36</v>
      </c>
      <c r="AD134">
        <v>36</v>
      </c>
      <c r="AE134">
        <v>37</v>
      </c>
      <c r="AF134">
        <v>38</v>
      </c>
      <c r="AG134">
        <v>38</v>
      </c>
      <c r="AH134">
        <v>39</v>
      </c>
      <c r="AI134">
        <v>40</v>
      </c>
      <c r="AJ134">
        <v>40</v>
      </c>
    </row>
    <row r="135" spans="1:36" x14ac:dyDescent="0.25">
      <c r="A135" s="24"/>
      <c r="B135">
        <v>221</v>
      </c>
      <c r="C135">
        <v>19</v>
      </c>
      <c r="D135">
        <v>20</v>
      </c>
      <c r="E135">
        <v>21</v>
      </c>
      <c r="F135">
        <v>21</v>
      </c>
      <c r="G135">
        <v>22</v>
      </c>
      <c r="H135">
        <v>22</v>
      </c>
      <c r="I135">
        <v>23</v>
      </c>
      <c r="J135">
        <v>24</v>
      </c>
      <c r="K135">
        <v>24</v>
      </c>
      <c r="L135">
        <v>25</v>
      </c>
      <c r="M135">
        <v>26</v>
      </c>
      <c r="N135">
        <v>26</v>
      </c>
      <c r="O135">
        <v>27</v>
      </c>
      <c r="P135">
        <v>28</v>
      </c>
      <c r="Q135">
        <v>28</v>
      </c>
      <c r="R135">
        <v>29</v>
      </c>
      <c r="S135">
        <v>29</v>
      </c>
      <c r="T135">
        <v>30</v>
      </c>
      <c r="U135">
        <v>31</v>
      </c>
      <c r="V135">
        <v>31</v>
      </c>
      <c r="W135">
        <v>32</v>
      </c>
      <c r="X135">
        <v>33</v>
      </c>
      <c r="Y135">
        <v>33</v>
      </c>
      <c r="Z135">
        <v>34</v>
      </c>
      <c r="AA135">
        <v>35</v>
      </c>
      <c r="AB135">
        <v>35</v>
      </c>
      <c r="AC135">
        <v>36</v>
      </c>
      <c r="AD135">
        <v>36</v>
      </c>
      <c r="AE135">
        <v>37</v>
      </c>
      <c r="AF135">
        <v>38</v>
      </c>
      <c r="AG135">
        <v>38</v>
      </c>
      <c r="AH135">
        <v>39</v>
      </c>
      <c r="AI135">
        <v>40</v>
      </c>
      <c r="AJ135">
        <v>40</v>
      </c>
    </row>
    <row r="136" spans="1:36" x14ac:dyDescent="0.25">
      <c r="A136" s="24"/>
      <c r="B136">
        <v>222</v>
      </c>
      <c r="C136">
        <v>19</v>
      </c>
      <c r="D136">
        <v>20</v>
      </c>
      <c r="E136">
        <v>21</v>
      </c>
      <c r="F136">
        <v>21</v>
      </c>
      <c r="G136">
        <v>22</v>
      </c>
      <c r="H136">
        <v>22</v>
      </c>
      <c r="I136">
        <v>23</v>
      </c>
      <c r="J136">
        <v>24</v>
      </c>
      <c r="K136">
        <v>24</v>
      </c>
      <c r="L136">
        <v>25</v>
      </c>
      <c r="M136">
        <v>26</v>
      </c>
      <c r="N136">
        <v>26</v>
      </c>
      <c r="O136">
        <v>27</v>
      </c>
      <c r="P136">
        <v>28</v>
      </c>
      <c r="Q136">
        <v>28</v>
      </c>
      <c r="R136">
        <v>29</v>
      </c>
      <c r="S136">
        <v>29</v>
      </c>
      <c r="T136">
        <v>30</v>
      </c>
      <c r="U136">
        <v>31</v>
      </c>
      <c r="V136">
        <v>31</v>
      </c>
      <c r="W136">
        <v>32</v>
      </c>
      <c r="X136">
        <v>33</v>
      </c>
      <c r="Y136">
        <v>33</v>
      </c>
      <c r="Z136">
        <v>34</v>
      </c>
      <c r="AA136">
        <v>35</v>
      </c>
      <c r="AB136">
        <v>35</v>
      </c>
      <c r="AC136">
        <v>36</v>
      </c>
      <c r="AD136">
        <v>36</v>
      </c>
      <c r="AE136">
        <v>37</v>
      </c>
      <c r="AF136">
        <v>38</v>
      </c>
      <c r="AG136">
        <v>38</v>
      </c>
      <c r="AH136">
        <v>39</v>
      </c>
      <c r="AI136">
        <v>40</v>
      </c>
      <c r="AJ136">
        <v>40</v>
      </c>
    </row>
    <row r="137" spans="1:36" x14ac:dyDescent="0.25">
      <c r="A137" s="24"/>
      <c r="B137">
        <v>223</v>
      </c>
      <c r="C137">
        <v>19</v>
      </c>
      <c r="D137">
        <v>20</v>
      </c>
      <c r="E137">
        <v>21</v>
      </c>
      <c r="F137">
        <v>21</v>
      </c>
      <c r="G137">
        <v>22</v>
      </c>
      <c r="H137">
        <v>22</v>
      </c>
      <c r="I137">
        <v>23</v>
      </c>
      <c r="J137">
        <v>24</v>
      </c>
      <c r="K137">
        <v>24</v>
      </c>
      <c r="L137">
        <v>25</v>
      </c>
      <c r="M137">
        <v>26</v>
      </c>
      <c r="N137">
        <v>26</v>
      </c>
      <c r="O137">
        <v>27</v>
      </c>
      <c r="P137">
        <v>28</v>
      </c>
      <c r="Q137">
        <v>28</v>
      </c>
      <c r="R137">
        <v>29</v>
      </c>
      <c r="S137">
        <v>29</v>
      </c>
      <c r="T137">
        <v>30</v>
      </c>
      <c r="U137">
        <v>31</v>
      </c>
      <c r="V137">
        <v>31</v>
      </c>
      <c r="W137">
        <v>32</v>
      </c>
      <c r="X137">
        <v>33</v>
      </c>
      <c r="Y137">
        <v>33</v>
      </c>
      <c r="Z137">
        <v>34</v>
      </c>
      <c r="AA137">
        <v>34</v>
      </c>
      <c r="AB137">
        <v>35</v>
      </c>
      <c r="AC137">
        <v>36</v>
      </c>
      <c r="AD137">
        <v>36</v>
      </c>
      <c r="AE137">
        <v>37</v>
      </c>
      <c r="AF137">
        <v>38</v>
      </c>
      <c r="AG137">
        <v>38</v>
      </c>
      <c r="AH137">
        <v>39</v>
      </c>
      <c r="AI137">
        <v>40</v>
      </c>
      <c r="AJ137">
        <v>40</v>
      </c>
    </row>
    <row r="138" spans="1:36" x14ac:dyDescent="0.25">
      <c r="A138" s="24"/>
      <c r="B138">
        <v>224</v>
      </c>
      <c r="C138">
        <v>19</v>
      </c>
      <c r="D138">
        <v>20</v>
      </c>
      <c r="E138">
        <v>21</v>
      </c>
      <c r="F138">
        <v>21</v>
      </c>
      <c r="G138">
        <v>22</v>
      </c>
      <c r="H138">
        <v>22</v>
      </c>
      <c r="I138">
        <v>23</v>
      </c>
      <c r="J138">
        <v>24</v>
      </c>
      <c r="K138">
        <v>24</v>
      </c>
      <c r="L138">
        <v>25</v>
      </c>
      <c r="M138">
        <v>26</v>
      </c>
      <c r="N138">
        <v>26</v>
      </c>
      <c r="O138">
        <v>27</v>
      </c>
      <c r="P138">
        <v>27</v>
      </c>
      <c r="Q138">
        <v>28</v>
      </c>
      <c r="R138">
        <v>29</v>
      </c>
      <c r="S138">
        <v>29</v>
      </c>
      <c r="T138">
        <v>30</v>
      </c>
      <c r="U138">
        <v>31</v>
      </c>
      <c r="V138">
        <v>31</v>
      </c>
      <c r="W138">
        <v>32</v>
      </c>
      <c r="X138">
        <v>33</v>
      </c>
      <c r="Y138">
        <v>33</v>
      </c>
      <c r="Z138">
        <v>34</v>
      </c>
      <c r="AA138">
        <v>34</v>
      </c>
      <c r="AB138">
        <v>35</v>
      </c>
      <c r="AC138">
        <v>36</v>
      </c>
      <c r="AD138">
        <v>36</v>
      </c>
      <c r="AE138">
        <v>37</v>
      </c>
      <c r="AF138">
        <v>38</v>
      </c>
      <c r="AG138">
        <v>38</v>
      </c>
      <c r="AH138">
        <v>39</v>
      </c>
      <c r="AI138">
        <v>40</v>
      </c>
      <c r="AJ138">
        <v>40</v>
      </c>
    </row>
    <row r="139" spans="1:36" x14ac:dyDescent="0.25">
      <c r="A139" s="24"/>
      <c r="B139">
        <v>225</v>
      </c>
      <c r="C139">
        <v>19</v>
      </c>
      <c r="D139">
        <v>20</v>
      </c>
      <c r="E139">
        <v>20</v>
      </c>
      <c r="F139">
        <v>21</v>
      </c>
      <c r="G139">
        <v>22</v>
      </c>
      <c r="H139">
        <v>22</v>
      </c>
      <c r="I139">
        <v>23</v>
      </c>
      <c r="J139">
        <v>24</v>
      </c>
      <c r="K139">
        <v>24</v>
      </c>
      <c r="L139">
        <v>25</v>
      </c>
      <c r="M139">
        <v>26</v>
      </c>
      <c r="N139">
        <v>26</v>
      </c>
      <c r="O139">
        <v>27</v>
      </c>
      <c r="P139">
        <v>27</v>
      </c>
      <c r="Q139">
        <v>28</v>
      </c>
      <c r="R139">
        <v>29</v>
      </c>
      <c r="S139">
        <v>29</v>
      </c>
      <c r="T139">
        <v>30</v>
      </c>
      <c r="U139">
        <v>31</v>
      </c>
      <c r="V139">
        <v>31</v>
      </c>
      <c r="W139">
        <v>32</v>
      </c>
      <c r="X139">
        <v>33</v>
      </c>
      <c r="Y139">
        <v>33</v>
      </c>
      <c r="Z139">
        <v>34</v>
      </c>
      <c r="AA139">
        <v>34</v>
      </c>
      <c r="AB139">
        <v>35</v>
      </c>
      <c r="AC139">
        <v>36</v>
      </c>
      <c r="AD139">
        <v>36</v>
      </c>
      <c r="AE139">
        <v>37</v>
      </c>
      <c r="AF139">
        <v>38</v>
      </c>
      <c r="AG139">
        <v>38</v>
      </c>
      <c r="AH139">
        <v>39</v>
      </c>
      <c r="AI139">
        <v>40</v>
      </c>
      <c r="AJ139">
        <v>40</v>
      </c>
    </row>
    <row r="140" spans="1:36" x14ac:dyDescent="0.25">
      <c r="A140" s="24"/>
      <c r="B140">
        <v>226</v>
      </c>
      <c r="C140">
        <v>19</v>
      </c>
      <c r="D140">
        <v>20</v>
      </c>
      <c r="E140">
        <v>20</v>
      </c>
      <c r="F140">
        <v>21</v>
      </c>
      <c r="G140">
        <v>22</v>
      </c>
      <c r="H140">
        <v>22</v>
      </c>
      <c r="I140">
        <v>23</v>
      </c>
      <c r="J140">
        <v>24</v>
      </c>
      <c r="K140">
        <v>24</v>
      </c>
      <c r="L140">
        <v>25</v>
      </c>
      <c r="M140">
        <v>26</v>
      </c>
      <c r="N140">
        <v>26</v>
      </c>
      <c r="O140">
        <v>27</v>
      </c>
      <c r="P140">
        <v>27</v>
      </c>
      <c r="Q140">
        <v>28</v>
      </c>
      <c r="R140">
        <v>29</v>
      </c>
      <c r="S140">
        <v>29</v>
      </c>
      <c r="T140">
        <v>30</v>
      </c>
      <c r="U140">
        <v>31</v>
      </c>
      <c r="V140">
        <v>31</v>
      </c>
      <c r="W140">
        <v>32</v>
      </c>
      <c r="X140">
        <v>33</v>
      </c>
      <c r="Y140">
        <v>33</v>
      </c>
      <c r="Z140">
        <v>34</v>
      </c>
      <c r="AA140">
        <v>34</v>
      </c>
      <c r="AB140">
        <v>35</v>
      </c>
      <c r="AC140">
        <v>36</v>
      </c>
      <c r="AD140">
        <v>36</v>
      </c>
      <c r="AE140">
        <v>37</v>
      </c>
      <c r="AF140">
        <v>38</v>
      </c>
      <c r="AG140">
        <v>38</v>
      </c>
      <c r="AH140">
        <v>39</v>
      </c>
      <c r="AI140">
        <v>40</v>
      </c>
      <c r="AJ140">
        <v>40</v>
      </c>
    </row>
    <row r="141" spans="1:36" x14ac:dyDescent="0.25">
      <c r="A141" s="24"/>
      <c r="B141">
        <v>227</v>
      </c>
      <c r="C141">
        <v>19</v>
      </c>
      <c r="D141">
        <v>20</v>
      </c>
      <c r="E141">
        <v>20</v>
      </c>
      <c r="F141">
        <v>21</v>
      </c>
      <c r="G141">
        <v>22</v>
      </c>
      <c r="H141">
        <v>22</v>
      </c>
      <c r="I141">
        <v>23</v>
      </c>
      <c r="J141">
        <v>24</v>
      </c>
      <c r="K141">
        <v>24</v>
      </c>
      <c r="L141">
        <v>25</v>
      </c>
      <c r="M141">
        <v>26</v>
      </c>
      <c r="N141">
        <v>26</v>
      </c>
      <c r="O141">
        <v>27</v>
      </c>
      <c r="P141">
        <v>27</v>
      </c>
      <c r="Q141">
        <v>28</v>
      </c>
      <c r="R141">
        <v>29</v>
      </c>
      <c r="S141">
        <v>29</v>
      </c>
      <c r="T141">
        <v>30</v>
      </c>
      <c r="U141">
        <v>31</v>
      </c>
      <c r="V141">
        <v>31</v>
      </c>
      <c r="W141">
        <v>32</v>
      </c>
      <c r="X141">
        <v>33</v>
      </c>
      <c r="Y141">
        <v>33</v>
      </c>
      <c r="Z141">
        <v>34</v>
      </c>
      <c r="AA141">
        <v>34</v>
      </c>
      <c r="AB141">
        <v>35</v>
      </c>
      <c r="AC141">
        <v>36</v>
      </c>
      <c r="AD141">
        <v>36</v>
      </c>
      <c r="AE141">
        <v>37</v>
      </c>
      <c r="AF141">
        <v>38</v>
      </c>
      <c r="AG141">
        <v>38</v>
      </c>
      <c r="AH141">
        <v>39</v>
      </c>
      <c r="AI141">
        <v>40</v>
      </c>
      <c r="AJ141">
        <v>40</v>
      </c>
    </row>
    <row r="142" spans="1:36" x14ac:dyDescent="0.25">
      <c r="A142" s="24"/>
      <c r="B142">
        <v>228</v>
      </c>
      <c r="C142">
        <v>19</v>
      </c>
      <c r="D142">
        <v>20</v>
      </c>
      <c r="E142">
        <v>20</v>
      </c>
      <c r="F142">
        <v>21</v>
      </c>
      <c r="G142">
        <v>22</v>
      </c>
      <c r="H142">
        <v>22</v>
      </c>
      <c r="I142">
        <v>23</v>
      </c>
      <c r="J142">
        <v>24</v>
      </c>
      <c r="K142">
        <v>24</v>
      </c>
      <c r="L142">
        <v>25</v>
      </c>
      <c r="M142">
        <v>26</v>
      </c>
      <c r="N142">
        <v>26</v>
      </c>
      <c r="O142">
        <v>27</v>
      </c>
      <c r="P142">
        <v>27</v>
      </c>
      <c r="Q142">
        <v>28</v>
      </c>
      <c r="R142">
        <v>29</v>
      </c>
      <c r="S142">
        <v>29</v>
      </c>
      <c r="T142">
        <v>30</v>
      </c>
      <c r="U142">
        <v>31</v>
      </c>
      <c r="V142">
        <v>31</v>
      </c>
      <c r="W142">
        <v>32</v>
      </c>
      <c r="X142">
        <v>33</v>
      </c>
      <c r="Y142">
        <v>33</v>
      </c>
      <c r="Z142">
        <v>34</v>
      </c>
      <c r="AA142">
        <v>34</v>
      </c>
      <c r="AB142">
        <v>35</v>
      </c>
      <c r="AC142">
        <v>36</v>
      </c>
      <c r="AD142">
        <v>36</v>
      </c>
      <c r="AE142">
        <v>37</v>
      </c>
      <c r="AF142">
        <v>38</v>
      </c>
      <c r="AG142">
        <v>38</v>
      </c>
      <c r="AH142">
        <v>39</v>
      </c>
      <c r="AI142">
        <v>40</v>
      </c>
      <c r="AJ142">
        <v>40</v>
      </c>
    </row>
    <row r="143" spans="1:36" x14ac:dyDescent="0.25">
      <c r="A143" s="24"/>
      <c r="B143">
        <v>229</v>
      </c>
      <c r="C143">
        <v>19</v>
      </c>
      <c r="D143">
        <v>20</v>
      </c>
      <c r="E143">
        <v>20</v>
      </c>
      <c r="F143">
        <v>21</v>
      </c>
      <c r="G143">
        <v>22</v>
      </c>
      <c r="H143">
        <v>22</v>
      </c>
      <c r="I143">
        <v>23</v>
      </c>
      <c r="J143">
        <v>24</v>
      </c>
      <c r="K143">
        <v>24</v>
      </c>
      <c r="L143">
        <v>25</v>
      </c>
      <c r="M143">
        <v>26</v>
      </c>
      <c r="N143">
        <v>26</v>
      </c>
      <c r="O143">
        <v>27</v>
      </c>
      <c r="P143">
        <v>27</v>
      </c>
      <c r="Q143">
        <v>28</v>
      </c>
      <c r="R143">
        <v>29</v>
      </c>
      <c r="S143">
        <v>29</v>
      </c>
      <c r="T143">
        <v>30</v>
      </c>
      <c r="U143">
        <v>31</v>
      </c>
      <c r="V143">
        <v>31</v>
      </c>
      <c r="W143">
        <v>32</v>
      </c>
      <c r="X143">
        <v>32</v>
      </c>
      <c r="Y143">
        <v>33</v>
      </c>
      <c r="Z143">
        <v>34</v>
      </c>
      <c r="AA143">
        <v>34</v>
      </c>
      <c r="AB143">
        <v>35</v>
      </c>
      <c r="AC143">
        <v>36</v>
      </c>
      <c r="AD143">
        <v>36</v>
      </c>
      <c r="AE143">
        <v>37</v>
      </c>
      <c r="AF143">
        <v>38</v>
      </c>
      <c r="AG143">
        <v>38</v>
      </c>
      <c r="AH143">
        <v>39</v>
      </c>
      <c r="AI143">
        <v>39</v>
      </c>
      <c r="AJ143">
        <v>40</v>
      </c>
    </row>
    <row r="144" spans="1:36" x14ac:dyDescent="0.25">
      <c r="A144" s="24"/>
      <c r="B144">
        <v>230</v>
      </c>
      <c r="C144">
        <v>19</v>
      </c>
      <c r="D144">
        <v>20</v>
      </c>
      <c r="E144">
        <v>20</v>
      </c>
      <c r="F144">
        <v>21</v>
      </c>
      <c r="G144">
        <v>22</v>
      </c>
      <c r="H144">
        <v>22</v>
      </c>
      <c r="I144">
        <v>23</v>
      </c>
      <c r="J144">
        <v>24</v>
      </c>
      <c r="K144">
        <v>24</v>
      </c>
      <c r="L144">
        <v>25</v>
      </c>
      <c r="M144">
        <v>26</v>
      </c>
      <c r="N144">
        <v>26</v>
      </c>
      <c r="O144">
        <v>27</v>
      </c>
      <c r="P144">
        <v>27</v>
      </c>
      <c r="Q144">
        <v>28</v>
      </c>
      <c r="R144">
        <v>29</v>
      </c>
      <c r="S144">
        <v>29</v>
      </c>
      <c r="T144">
        <v>30</v>
      </c>
      <c r="U144">
        <v>31</v>
      </c>
      <c r="V144">
        <v>31</v>
      </c>
      <c r="W144">
        <v>32</v>
      </c>
      <c r="X144">
        <v>32</v>
      </c>
      <c r="Y144">
        <v>33</v>
      </c>
      <c r="Z144">
        <v>34</v>
      </c>
      <c r="AA144">
        <v>34</v>
      </c>
      <c r="AB144">
        <v>35</v>
      </c>
      <c r="AC144">
        <v>36</v>
      </c>
      <c r="AD144">
        <v>36</v>
      </c>
      <c r="AE144">
        <v>37</v>
      </c>
      <c r="AF144">
        <v>38</v>
      </c>
      <c r="AG144">
        <v>38</v>
      </c>
      <c r="AH144">
        <v>39</v>
      </c>
      <c r="AI144">
        <v>39</v>
      </c>
      <c r="AJ144">
        <v>40</v>
      </c>
    </row>
    <row r="145" spans="1:36" x14ac:dyDescent="0.25">
      <c r="A145" s="24"/>
      <c r="B145">
        <v>231</v>
      </c>
      <c r="C145">
        <v>19</v>
      </c>
      <c r="D145">
        <v>20</v>
      </c>
      <c r="E145">
        <v>20</v>
      </c>
      <c r="F145">
        <v>21</v>
      </c>
      <c r="G145">
        <v>22</v>
      </c>
      <c r="H145">
        <v>22</v>
      </c>
      <c r="I145">
        <v>23</v>
      </c>
      <c r="J145">
        <v>24</v>
      </c>
      <c r="K145">
        <v>24</v>
      </c>
      <c r="L145">
        <v>25</v>
      </c>
      <c r="M145">
        <v>25</v>
      </c>
      <c r="N145">
        <v>26</v>
      </c>
      <c r="O145">
        <v>27</v>
      </c>
      <c r="P145">
        <v>27</v>
      </c>
      <c r="Q145">
        <v>28</v>
      </c>
      <c r="R145">
        <v>29</v>
      </c>
      <c r="S145">
        <v>29</v>
      </c>
      <c r="T145">
        <v>30</v>
      </c>
      <c r="U145">
        <v>331</v>
      </c>
      <c r="V145">
        <v>31</v>
      </c>
      <c r="W145">
        <v>32</v>
      </c>
      <c r="X145">
        <v>32</v>
      </c>
      <c r="Y145">
        <v>33</v>
      </c>
      <c r="Z145">
        <v>34</v>
      </c>
      <c r="AA145">
        <v>34</v>
      </c>
      <c r="AB145">
        <v>35</v>
      </c>
      <c r="AC145">
        <v>36</v>
      </c>
      <c r="AD145">
        <v>36</v>
      </c>
      <c r="AE145">
        <v>37</v>
      </c>
      <c r="AF145">
        <v>38</v>
      </c>
      <c r="AG145">
        <v>38</v>
      </c>
      <c r="AH145">
        <v>39</v>
      </c>
      <c r="AI145">
        <v>39</v>
      </c>
      <c r="AJ145">
        <v>40</v>
      </c>
    </row>
    <row r="146" spans="1:36" x14ac:dyDescent="0.25">
      <c r="A146" s="24"/>
      <c r="B146">
        <v>232</v>
      </c>
      <c r="C146">
        <v>19</v>
      </c>
      <c r="D146">
        <v>20</v>
      </c>
      <c r="E146">
        <v>20</v>
      </c>
      <c r="F146">
        <v>21</v>
      </c>
      <c r="G146">
        <v>22</v>
      </c>
      <c r="H146">
        <v>22</v>
      </c>
      <c r="I146">
        <v>23</v>
      </c>
      <c r="J146">
        <v>24</v>
      </c>
      <c r="K146">
        <v>24</v>
      </c>
      <c r="L146">
        <v>25</v>
      </c>
      <c r="M146">
        <v>25</v>
      </c>
      <c r="N146">
        <v>26</v>
      </c>
      <c r="O146">
        <v>27</v>
      </c>
      <c r="P146">
        <v>27</v>
      </c>
      <c r="Q146">
        <v>28</v>
      </c>
      <c r="R146">
        <v>29</v>
      </c>
      <c r="S146">
        <v>29</v>
      </c>
      <c r="T146">
        <v>30</v>
      </c>
      <c r="U146">
        <v>331</v>
      </c>
      <c r="V146">
        <v>31</v>
      </c>
      <c r="W146">
        <v>32</v>
      </c>
      <c r="X146">
        <v>32</v>
      </c>
      <c r="Y146">
        <v>33</v>
      </c>
      <c r="Z146">
        <v>34</v>
      </c>
      <c r="AA146">
        <v>34</v>
      </c>
      <c r="AB146">
        <v>35</v>
      </c>
      <c r="AC146">
        <v>36</v>
      </c>
      <c r="AD146">
        <v>36</v>
      </c>
      <c r="AE146">
        <v>37</v>
      </c>
      <c r="AF146">
        <v>38</v>
      </c>
      <c r="AG146">
        <v>38</v>
      </c>
      <c r="AH146">
        <v>39</v>
      </c>
      <c r="AI146">
        <v>39</v>
      </c>
      <c r="AJ146">
        <v>40</v>
      </c>
    </row>
    <row r="147" spans="1:36" x14ac:dyDescent="0.25">
      <c r="A147" s="24"/>
      <c r="B147">
        <v>233</v>
      </c>
      <c r="C147">
        <v>19</v>
      </c>
      <c r="D147">
        <v>20</v>
      </c>
      <c r="E147">
        <v>20</v>
      </c>
      <c r="F147">
        <v>21</v>
      </c>
      <c r="G147">
        <v>22</v>
      </c>
      <c r="H147">
        <v>22</v>
      </c>
      <c r="I147">
        <v>23</v>
      </c>
      <c r="J147">
        <v>24</v>
      </c>
      <c r="K147">
        <v>24</v>
      </c>
      <c r="L147">
        <v>25</v>
      </c>
      <c r="M147">
        <v>25</v>
      </c>
      <c r="N147">
        <v>26</v>
      </c>
      <c r="O147">
        <v>27</v>
      </c>
      <c r="P147">
        <v>27</v>
      </c>
      <c r="Q147">
        <v>28</v>
      </c>
      <c r="R147">
        <v>29</v>
      </c>
      <c r="S147">
        <v>29</v>
      </c>
      <c r="T147">
        <v>30</v>
      </c>
      <c r="U147">
        <v>331</v>
      </c>
      <c r="V147">
        <v>31</v>
      </c>
      <c r="W147">
        <v>32</v>
      </c>
      <c r="X147">
        <v>32</v>
      </c>
      <c r="Y147">
        <v>33</v>
      </c>
      <c r="Z147">
        <v>34</v>
      </c>
      <c r="AA147">
        <v>34</v>
      </c>
      <c r="AB147">
        <v>35</v>
      </c>
      <c r="AC147">
        <v>36</v>
      </c>
      <c r="AD147">
        <v>36</v>
      </c>
      <c r="AE147">
        <v>37</v>
      </c>
      <c r="AF147">
        <v>38</v>
      </c>
      <c r="AG147">
        <v>38</v>
      </c>
      <c r="AH147">
        <v>39</v>
      </c>
      <c r="AI147">
        <v>39</v>
      </c>
      <c r="AJ147">
        <v>40</v>
      </c>
    </row>
    <row r="148" spans="1:36" x14ac:dyDescent="0.25">
      <c r="A148" s="24"/>
      <c r="B148">
        <v>234</v>
      </c>
      <c r="C148">
        <v>19</v>
      </c>
      <c r="D148">
        <v>20</v>
      </c>
      <c r="E148">
        <v>20</v>
      </c>
      <c r="F148">
        <v>21</v>
      </c>
      <c r="G148">
        <v>22</v>
      </c>
      <c r="H148">
        <v>22</v>
      </c>
      <c r="I148">
        <v>23</v>
      </c>
      <c r="J148">
        <v>24</v>
      </c>
      <c r="K148">
        <v>24</v>
      </c>
      <c r="L148">
        <v>25</v>
      </c>
      <c r="M148">
        <v>25</v>
      </c>
      <c r="N148">
        <v>26</v>
      </c>
      <c r="O148">
        <v>27</v>
      </c>
      <c r="P148">
        <v>27</v>
      </c>
      <c r="Q148">
        <v>28</v>
      </c>
      <c r="R148">
        <v>29</v>
      </c>
      <c r="S148">
        <v>29</v>
      </c>
      <c r="T148">
        <v>30</v>
      </c>
      <c r="U148">
        <v>331</v>
      </c>
      <c r="V148">
        <v>31</v>
      </c>
      <c r="W148">
        <v>32</v>
      </c>
      <c r="X148">
        <v>32</v>
      </c>
      <c r="Y148">
        <v>33</v>
      </c>
      <c r="Z148">
        <v>34</v>
      </c>
      <c r="AA148">
        <v>34</v>
      </c>
      <c r="AB148">
        <v>35</v>
      </c>
      <c r="AC148">
        <v>36</v>
      </c>
      <c r="AD148">
        <v>36</v>
      </c>
      <c r="AE148">
        <v>37</v>
      </c>
      <c r="AF148">
        <v>38</v>
      </c>
      <c r="AG148">
        <v>38</v>
      </c>
      <c r="AH148">
        <v>39</v>
      </c>
      <c r="AI148">
        <v>39</v>
      </c>
      <c r="AJ148">
        <v>40</v>
      </c>
    </row>
    <row r="149" spans="1:36" x14ac:dyDescent="0.25">
      <c r="A149" s="24"/>
      <c r="B149">
        <v>235</v>
      </c>
      <c r="C149">
        <v>19</v>
      </c>
      <c r="D149">
        <v>20</v>
      </c>
      <c r="E149">
        <v>20</v>
      </c>
      <c r="F149">
        <v>21</v>
      </c>
      <c r="G149">
        <v>22</v>
      </c>
      <c r="H149">
        <v>22</v>
      </c>
      <c r="I149">
        <v>23</v>
      </c>
      <c r="J149">
        <v>24</v>
      </c>
      <c r="K149">
        <v>24</v>
      </c>
      <c r="L149">
        <v>25</v>
      </c>
      <c r="M149">
        <v>25</v>
      </c>
      <c r="N149">
        <v>26</v>
      </c>
      <c r="O149">
        <v>27</v>
      </c>
      <c r="P149">
        <v>27</v>
      </c>
      <c r="Q149">
        <v>28</v>
      </c>
      <c r="R149">
        <v>29</v>
      </c>
      <c r="S149">
        <v>29</v>
      </c>
      <c r="T149">
        <v>30</v>
      </c>
      <c r="U149">
        <v>31</v>
      </c>
      <c r="V149">
        <v>31</v>
      </c>
      <c r="W149">
        <v>32</v>
      </c>
      <c r="X149">
        <v>32</v>
      </c>
      <c r="Y149">
        <v>33</v>
      </c>
      <c r="Z149">
        <v>34</v>
      </c>
      <c r="AA149">
        <v>34</v>
      </c>
      <c r="AB149">
        <v>35</v>
      </c>
      <c r="AC149">
        <v>36</v>
      </c>
      <c r="AD149">
        <v>36</v>
      </c>
      <c r="AE149">
        <v>37</v>
      </c>
      <c r="AF149">
        <v>37</v>
      </c>
      <c r="AG149">
        <v>38</v>
      </c>
      <c r="AH149">
        <v>39</v>
      </c>
      <c r="AI149">
        <v>39</v>
      </c>
      <c r="AJ149">
        <v>40</v>
      </c>
    </row>
    <row r="150" spans="1:36" x14ac:dyDescent="0.25">
      <c r="A150" s="24"/>
      <c r="B150">
        <v>236</v>
      </c>
      <c r="C150">
        <v>19</v>
      </c>
      <c r="D150">
        <v>20</v>
      </c>
      <c r="E150">
        <v>20</v>
      </c>
      <c r="F150">
        <v>21</v>
      </c>
      <c r="G150">
        <v>22</v>
      </c>
      <c r="H150">
        <v>22</v>
      </c>
      <c r="I150">
        <v>23</v>
      </c>
      <c r="J150">
        <v>24</v>
      </c>
      <c r="K150">
        <v>24</v>
      </c>
      <c r="L150">
        <v>25</v>
      </c>
      <c r="M150">
        <v>25</v>
      </c>
      <c r="N150">
        <v>26</v>
      </c>
      <c r="O150">
        <v>27</v>
      </c>
      <c r="P150">
        <v>27</v>
      </c>
      <c r="Q150">
        <v>28</v>
      </c>
      <c r="R150">
        <v>29</v>
      </c>
      <c r="S150">
        <v>29</v>
      </c>
      <c r="T150">
        <v>30</v>
      </c>
      <c r="U150">
        <v>30</v>
      </c>
      <c r="V150">
        <v>31</v>
      </c>
      <c r="W150">
        <v>32</v>
      </c>
      <c r="X150">
        <v>32</v>
      </c>
      <c r="Y150">
        <v>33</v>
      </c>
      <c r="Z150">
        <v>34</v>
      </c>
      <c r="AA150">
        <v>34</v>
      </c>
      <c r="AB150">
        <v>35</v>
      </c>
      <c r="AC150">
        <v>36</v>
      </c>
      <c r="AD150">
        <v>36</v>
      </c>
      <c r="AE150">
        <v>37</v>
      </c>
      <c r="AF150">
        <v>37</v>
      </c>
      <c r="AG150">
        <v>38</v>
      </c>
      <c r="AH150">
        <v>39</v>
      </c>
      <c r="AI150">
        <v>39</v>
      </c>
      <c r="AJ150">
        <v>40</v>
      </c>
    </row>
    <row r="151" spans="1:36" x14ac:dyDescent="0.25">
      <c r="A151" s="24"/>
      <c r="B151">
        <v>237</v>
      </c>
      <c r="C151">
        <v>19</v>
      </c>
      <c r="D151">
        <v>20</v>
      </c>
      <c r="E151">
        <v>20</v>
      </c>
      <c r="F151">
        <v>21</v>
      </c>
      <c r="G151">
        <v>22</v>
      </c>
      <c r="H151">
        <v>22</v>
      </c>
      <c r="I151">
        <v>23</v>
      </c>
      <c r="J151">
        <v>23</v>
      </c>
      <c r="K151">
        <v>24</v>
      </c>
      <c r="L151">
        <v>25</v>
      </c>
      <c r="M151">
        <v>25</v>
      </c>
      <c r="N151">
        <v>26</v>
      </c>
      <c r="O151">
        <v>27</v>
      </c>
      <c r="P151">
        <v>27</v>
      </c>
      <c r="Q151">
        <v>28</v>
      </c>
      <c r="R151">
        <v>29</v>
      </c>
      <c r="S151">
        <v>29</v>
      </c>
      <c r="T151">
        <v>30</v>
      </c>
      <c r="U151">
        <v>30</v>
      </c>
      <c r="V151">
        <v>31</v>
      </c>
      <c r="W151">
        <v>32</v>
      </c>
      <c r="X151">
        <v>32</v>
      </c>
      <c r="Y151">
        <v>33</v>
      </c>
      <c r="Z151">
        <v>34</v>
      </c>
      <c r="AA151">
        <v>34</v>
      </c>
      <c r="AB151">
        <v>35</v>
      </c>
      <c r="AC151">
        <v>36</v>
      </c>
      <c r="AD151">
        <v>36</v>
      </c>
      <c r="AE151">
        <v>37</v>
      </c>
      <c r="AF151">
        <v>37</v>
      </c>
      <c r="AG151">
        <v>38</v>
      </c>
      <c r="AH151">
        <v>39</v>
      </c>
      <c r="AI151">
        <v>39</v>
      </c>
      <c r="AJ151">
        <v>40</v>
      </c>
    </row>
    <row r="152" spans="1:36" x14ac:dyDescent="0.25">
      <c r="A152" s="24"/>
      <c r="B152">
        <v>238</v>
      </c>
      <c r="C152">
        <v>19</v>
      </c>
      <c r="D152">
        <v>20</v>
      </c>
      <c r="E152">
        <v>20</v>
      </c>
      <c r="F152">
        <v>21</v>
      </c>
      <c r="G152">
        <v>22</v>
      </c>
      <c r="H152">
        <v>22</v>
      </c>
      <c r="I152">
        <v>23</v>
      </c>
      <c r="J152">
        <v>23</v>
      </c>
      <c r="K152">
        <v>24</v>
      </c>
      <c r="L152">
        <v>25</v>
      </c>
      <c r="M152">
        <v>25</v>
      </c>
      <c r="N152">
        <v>26</v>
      </c>
      <c r="O152">
        <v>27</v>
      </c>
      <c r="P152">
        <v>27</v>
      </c>
      <c r="Q152">
        <v>28</v>
      </c>
      <c r="R152">
        <v>29</v>
      </c>
      <c r="S152">
        <v>29</v>
      </c>
      <c r="T152">
        <v>30</v>
      </c>
      <c r="U152">
        <v>30</v>
      </c>
      <c r="V152">
        <v>31</v>
      </c>
      <c r="W152">
        <v>32</v>
      </c>
      <c r="X152">
        <v>32</v>
      </c>
      <c r="Y152">
        <v>33</v>
      </c>
      <c r="Z152">
        <v>34</v>
      </c>
      <c r="AA152">
        <v>34</v>
      </c>
      <c r="AB152">
        <v>35</v>
      </c>
      <c r="AC152">
        <v>36</v>
      </c>
      <c r="AD152">
        <v>36</v>
      </c>
      <c r="AE152">
        <v>37</v>
      </c>
      <c r="AF152">
        <v>37</v>
      </c>
      <c r="AG152">
        <v>38</v>
      </c>
      <c r="AH152">
        <v>39</v>
      </c>
      <c r="AI152">
        <v>39</v>
      </c>
      <c r="AJ152">
        <v>40</v>
      </c>
    </row>
    <row r="153" spans="1:36" x14ac:dyDescent="0.25">
      <c r="A153" s="24"/>
      <c r="B153">
        <v>239</v>
      </c>
      <c r="C153">
        <v>19</v>
      </c>
      <c r="D153">
        <v>20</v>
      </c>
      <c r="E153">
        <v>20</v>
      </c>
      <c r="F153">
        <v>21</v>
      </c>
      <c r="G153">
        <v>22</v>
      </c>
      <c r="H153">
        <v>22</v>
      </c>
      <c r="I153">
        <v>23</v>
      </c>
      <c r="J153">
        <v>23</v>
      </c>
      <c r="K153">
        <v>24</v>
      </c>
      <c r="L153">
        <v>25</v>
      </c>
      <c r="M153">
        <v>25</v>
      </c>
      <c r="N153">
        <v>26</v>
      </c>
      <c r="O153">
        <v>27</v>
      </c>
      <c r="P153">
        <v>27</v>
      </c>
      <c r="Q153">
        <v>28</v>
      </c>
      <c r="R153">
        <v>29</v>
      </c>
      <c r="S153">
        <v>29</v>
      </c>
      <c r="T153">
        <v>30</v>
      </c>
      <c r="U153">
        <v>30</v>
      </c>
      <c r="V153">
        <v>31</v>
      </c>
      <c r="W153">
        <v>32</v>
      </c>
      <c r="X153">
        <v>32</v>
      </c>
      <c r="Y153">
        <v>33</v>
      </c>
      <c r="Z153">
        <v>34</v>
      </c>
      <c r="AA153">
        <v>34</v>
      </c>
      <c r="AB153">
        <v>35</v>
      </c>
      <c r="AC153">
        <v>36</v>
      </c>
      <c r="AD153">
        <v>36</v>
      </c>
      <c r="AE153">
        <v>37</v>
      </c>
      <c r="AF153">
        <v>37</v>
      </c>
      <c r="AG153">
        <v>38</v>
      </c>
      <c r="AH153">
        <v>39</v>
      </c>
      <c r="AI153">
        <v>39</v>
      </c>
      <c r="AJ153">
        <v>40</v>
      </c>
    </row>
    <row r="154" spans="1:36" x14ac:dyDescent="0.25">
      <c r="A154" s="24"/>
      <c r="B154">
        <v>240</v>
      </c>
      <c r="C154">
        <v>19</v>
      </c>
      <c r="D154">
        <v>20</v>
      </c>
      <c r="E154">
        <v>20</v>
      </c>
      <c r="F154">
        <v>21</v>
      </c>
      <c r="G154">
        <v>22</v>
      </c>
      <c r="H154">
        <v>22</v>
      </c>
      <c r="I154">
        <v>23</v>
      </c>
      <c r="J154">
        <v>23</v>
      </c>
      <c r="K154">
        <v>24</v>
      </c>
      <c r="L154">
        <v>25</v>
      </c>
      <c r="M154">
        <v>25</v>
      </c>
      <c r="N154">
        <v>26</v>
      </c>
      <c r="O154">
        <v>27</v>
      </c>
      <c r="P154">
        <v>27</v>
      </c>
      <c r="Q154">
        <v>28</v>
      </c>
      <c r="R154">
        <v>29</v>
      </c>
      <c r="S154">
        <v>29</v>
      </c>
      <c r="T154">
        <v>30</v>
      </c>
      <c r="U154">
        <v>30</v>
      </c>
      <c r="V154">
        <v>31</v>
      </c>
      <c r="W154">
        <v>32</v>
      </c>
      <c r="X154">
        <v>32</v>
      </c>
      <c r="Y154">
        <v>33</v>
      </c>
      <c r="Z154">
        <v>34</v>
      </c>
      <c r="AA154">
        <v>34</v>
      </c>
      <c r="AB154">
        <v>35</v>
      </c>
      <c r="AC154">
        <v>36</v>
      </c>
      <c r="AD154">
        <v>36</v>
      </c>
      <c r="AE154">
        <v>37</v>
      </c>
      <c r="AF154">
        <v>37</v>
      </c>
      <c r="AG154">
        <v>38</v>
      </c>
      <c r="AH154">
        <v>39</v>
      </c>
      <c r="AI154">
        <v>39</v>
      </c>
      <c r="AJ154">
        <v>40</v>
      </c>
    </row>
    <row r="155" spans="1:36" x14ac:dyDescent="0.25">
      <c r="A155" s="24"/>
      <c r="B155">
        <v>241</v>
      </c>
      <c r="C155">
        <v>19</v>
      </c>
      <c r="D155">
        <v>20</v>
      </c>
      <c r="E155">
        <v>20</v>
      </c>
      <c r="F155">
        <v>21</v>
      </c>
      <c r="G155">
        <v>22</v>
      </c>
      <c r="H155">
        <v>22</v>
      </c>
      <c r="I155">
        <v>23</v>
      </c>
      <c r="J155">
        <v>23</v>
      </c>
      <c r="K155">
        <v>24</v>
      </c>
      <c r="L155">
        <v>25</v>
      </c>
      <c r="M155">
        <v>25</v>
      </c>
      <c r="N155">
        <v>26</v>
      </c>
      <c r="O155">
        <v>27</v>
      </c>
      <c r="P155">
        <v>27</v>
      </c>
      <c r="Q155">
        <v>28</v>
      </c>
      <c r="R155">
        <v>29</v>
      </c>
      <c r="S155">
        <v>29</v>
      </c>
      <c r="T155">
        <v>30</v>
      </c>
      <c r="U155">
        <v>30</v>
      </c>
      <c r="V155">
        <v>31</v>
      </c>
      <c r="W155">
        <v>32</v>
      </c>
      <c r="X155">
        <v>32</v>
      </c>
      <c r="Y155">
        <v>33</v>
      </c>
      <c r="Z155">
        <v>34</v>
      </c>
      <c r="AA155">
        <v>34</v>
      </c>
      <c r="AB155">
        <v>35</v>
      </c>
      <c r="AC155">
        <v>35</v>
      </c>
      <c r="AD155">
        <v>36</v>
      </c>
      <c r="AE155">
        <v>37</v>
      </c>
      <c r="AF155">
        <v>37</v>
      </c>
      <c r="AG155">
        <v>38</v>
      </c>
      <c r="AH155">
        <v>39</v>
      </c>
      <c r="AI155">
        <v>39</v>
      </c>
      <c r="AJ155">
        <v>40</v>
      </c>
    </row>
    <row r="156" spans="1:36" x14ac:dyDescent="0.25">
      <c r="A156" s="24"/>
      <c r="B156">
        <v>242</v>
      </c>
      <c r="C156">
        <v>19</v>
      </c>
      <c r="D156">
        <v>20</v>
      </c>
      <c r="E156">
        <v>20</v>
      </c>
      <c r="F156">
        <v>21</v>
      </c>
      <c r="G156">
        <v>22</v>
      </c>
      <c r="H156">
        <v>22</v>
      </c>
      <c r="I156">
        <v>23</v>
      </c>
      <c r="J156">
        <v>23</v>
      </c>
      <c r="K156">
        <v>24</v>
      </c>
      <c r="L156">
        <v>25</v>
      </c>
      <c r="M156">
        <v>25</v>
      </c>
      <c r="N156">
        <v>26</v>
      </c>
      <c r="O156">
        <v>27</v>
      </c>
      <c r="P156">
        <v>27</v>
      </c>
      <c r="Q156">
        <v>28</v>
      </c>
      <c r="R156">
        <v>28</v>
      </c>
      <c r="S156">
        <v>29</v>
      </c>
      <c r="T156">
        <v>30</v>
      </c>
      <c r="U156">
        <v>30</v>
      </c>
      <c r="V156">
        <v>31</v>
      </c>
      <c r="W156">
        <v>32</v>
      </c>
      <c r="X156">
        <v>32</v>
      </c>
      <c r="Y156">
        <v>33</v>
      </c>
      <c r="Z156">
        <v>34</v>
      </c>
      <c r="AA156">
        <v>34</v>
      </c>
      <c r="AB156">
        <v>35</v>
      </c>
      <c r="AC156">
        <v>35</v>
      </c>
      <c r="AD156">
        <v>36</v>
      </c>
      <c r="AE156">
        <v>37</v>
      </c>
      <c r="AF156">
        <v>37</v>
      </c>
      <c r="AG156">
        <v>38</v>
      </c>
      <c r="AH156">
        <v>39</v>
      </c>
      <c r="AI156">
        <v>39</v>
      </c>
      <c r="AJ156">
        <v>40</v>
      </c>
    </row>
    <row r="157" spans="1:36" x14ac:dyDescent="0.25">
      <c r="A157" s="24"/>
      <c r="B157">
        <v>243</v>
      </c>
      <c r="C157">
        <v>19</v>
      </c>
      <c r="D157">
        <v>20</v>
      </c>
      <c r="E157">
        <v>20</v>
      </c>
      <c r="F157">
        <v>21</v>
      </c>
      <c r="G157">
        <v>21</v>
      </c>
      <c r="H157">
        <v>22</v>
      </c>
      <c r="I157">
        <v>23</v>
      </c>
      <c r="J157">
        <v>23</v>
      </c>
      <c r="K157">
        <v>24</v>
      </c>
      <c r="L157">
        <v>25</v>
      </c>
      <c r="M157">
        <v>25</v>
      </c>
      <c r="N157">
        <v>26</v>
      </c>
      <c r="O157">
        <v>27</v>
      </c>
      <c r="P157">
        <v>27</v>
      </c>
      <c r="Q157">
        <v>28</v>
      </c>
      <c r="R157">
        <v>28</v>
      </c>
      <c r="S157">
        <v>29</v>
      </c>
      <c r="T157">
        <v>30</v>
      </c>
      <c r="U157">
        <v>30</v>
      </c>
      <c r="V157">
        <v>31</v>
      </c>
      <c r="W157">
        <v>32</v>
      </c>
      <c r="X157">
        <v>32</v>
      </c>
      <c r="Y157">
        <v>33</v>
      </c>
      <c r="Z157">
        <v>34</v>
      </c>
      <c r="AA157">
        <v>34</v>
      </c>
      <c r="AB157">
        <v>35</v>
      </c>
      <c r="AC157">
        <v>35</v>
      </c>
      <c r="AD157">
        <v>36</v>
      </c>
      <c r="AE157">
        <v>37</v>
      </c>
      <c r="AF157">
        <v>37</v>
      </c>
      <c r="AG157">
        <v>38</v>
      </c>
      <c r="AH157">
        <v>39</v>
      </c>
      <c r="AI157">
        <v>39</v>
      </c>
      <c r="AJ157">
        <v>40</v>
      </c>
    </row>
    <row r="158" spans="1:36" x14ac:dyDescent="0.25">
      <c r="A158" s="24"/>
      <c r="B158">
        <v>244</v>
      </c>
      <c r="C158">
        <v>19</v>
      </c>
      <c r="D158">
        <v>20</v>
      </c>
      <c r="E158">
        <v>20</v>
      </c>
      <c r="F158">
        <v>21</v>
      </c>
      <c r="G158">
        <v>21</v>
      </c>
      <c r="H158">
        <v>22</v>
      </c>
      <c r="I158">
        <v>23</v>
      </c>
      <c r="J158">
        <v>23</v>
      </c>
      <c r="K158">
        <v>24</v>
      </c>
      <c r="L158">
        <v>25</v>
      </c>
      <c r="M158">
        <v>25</v>
      </c>
      <c r="N158">
        <v>26</v>
      </c>
      <c r="O158">
        <v>27</v>
      </c>
      <c r="P158">
        <v>27</v>
      </c>
      <c r="Q158">
        <v>28</v>
      </c>
      <c r="R158">
        <v>28</v>
      </c>
      <c r="S158">
        <v>29</v>
      </c>
      <c r="T158">
        <v>30</v>
      </c>
      <c r="U158">
        <v>30</v>
      </c>
      <c r="V158">
        <v>31</v>
      </c>
      <c r="W158">
        <v>32</v>
      </c>
      <c r="X158">
        <v>32</v>
      </c>
      <c r="Y158">
        <v>33</v>
      </c>
      <c r="Z158">
        <v>34</v>
      </c>
      <c r="AA158">
        <v>34</v>
      </c>
      <c r="AB158">
        <v>35</v>
      </c>
      <c r="AC158">
        <v>35</v>
      </c>
      <c r="AD158">
        <v>36</v>
      </c>
      <c r="AE158">
        <v>37</v>
      </c>
      <c r="AF158">
        <v>37</v>
      </c>
      <c r="AG158">
        <v>38</v>
      </c>
      <c r="AH158">
        <v>39</v>
      </c>
      <c r="AI158">
        <v>39</v>
      </c>
      <c r="AJ158">
        <v>40</v>
      </c>
    </row>
    <row r="159" spans="1:36" x14ac:dyDescent="0.25">
      <c r="A159" s="24"/>
      <c r="B159">
        <v>245</v>
      </c>
      <c r="C159">
        <v>19</v>
      </c>
      <c r="D159">
        <v>20</v>
      </c>
      <c r="E159">
        <v>20</v>
      </c>
      <c r="F159">
        <v>21</v>
      </c>
      <c r="G159">
        <v>21</v>
      </c>
      <c r="H159">
        <v>22</v>
      </c>
      <c r="I159">
        <v>23</v>
      </c>
      <c r="J159">
        <v>23</v>
      </c>
      <c r="K159">
        <v>24</v>
      </c>
      <c r="L159">
        <v>25</v>
      </c>
      <c r="M159">
        <v>25</v>
      </c>
      <c r="N159">
        <v>26</v>
      </c>
      <c r="O159">
        <v>27</v>
      </c>
      <c r="P159">
        <v>27</v>
      </c>
      <c r="Q159">
        <v>28</v>
      </c>
      <c r="R159">
        <v>28</v>
      </c>
      <c r="S159">
        <v>29</v>
      </c>
      <c r="T159">
        <v>30</v>
      </c>
      <c r="U159">
        <v>30</v>
      </c>
      <c r="V159">
        <v>31</v>
      </c>
      <c r="W159">
        <v>32</v>
      </c>
      <c r="X159">
        <v>32</v>
      </c>
      <c r="Y159">
        <v>33</v>
      </c>
      <c r="Z159">
        <v>34</v>
      </c>
      <c r="AA159">
        <v>34</v>
      </c>
      <c r="AB159">
        <v>35</v>
      </c>
      <c r="AC159">
        <v>35</v>
      </c>
      <c r="AD159">
        <v>36</v>
      </c>
      <c r="AE159">
        <v>37</v>
      </c>
      <c r="AF159">
        <v>37</v>
      </c>
      <c r="AG159">
        <v>38</v>
      </c>
      <c r="AH159">
        <v>39</v>
      </c>
      <c r="AI159">
        <v>39</v>
      </c>
      <c r="AJ159">
        <v>40</v>
      </c>
    </row>
    <row r="160" spans="1:36" x14ac:dyDescent="0.25">
      <c r="A160" s="24"/>
      <c r="B160">
        <v>246</v>
      </c>
      <c r="C160">
        <v>19</v>
      </c>
      <c r="D160">
        <v>20</v>
      </c>
      <c r="E160">
        <v>20</v>
      </c>
      <c r="F160">
        <v>21</v>
      </c>
      <c r="G160">
        <v>21</v>
      </c>
      <c r="H160">
        <v>22</v>
      </c>
      <c r="I160">
        <v>23</v>
      </c>
      <c r="J160">
        <v>23</v>
      </c>
      <c r="K160">
        <v>24</v>
      </c>
      <c r="L160">
        <v>25</v>
      </c>
      <c r="M160">
        <v>25</v>
      </c>
      <c r="N160">
        <v>26</v>
      </c>
      <c r="O160">
        <v>27</v>
      </c>
      <c r="P160">
        <v>27</v>
      </c>
      <c r="Q160">
        <v>28</v>
      </c>
      <c r="R160">
        <v>28</v>
      </c>
      <c r="S160">
        <v>29</v>
      </c>
      <c r="T160">
        <v>30</v>
      </c>
      <c r="U160">
        <v>30</v>
      </c>
      <c r="V160">
        <v>31</v>
      </c>
      <c r="W160">
        <v>32</v>
      </c>
      <c r="X160">
        <v>32</v>
      </c>
      <c r="Y160">
        <v>33</v>
      </c>
      <c r="Z160">
        <v>34</v>
      </c>
      <c r="AA160">
        <v>34</v>
      </c>
      <c r="AB160">
        <v>35</v>
      </c>
      <c r="AC160">
        <v>35</v>
      </c>
      <c r="AD160">
        <v>36</v>
      </c>
      <c r="AE160">
        <v>37</v>
      </c>
      <c r="AF160">
        <v>37</v>
      </c>
      <c r="AG160">
        <v>38</v>
      </c>
      <c r="AH160">
        <v>39</v>
      </c>
      <c r="AI160">
        <v>39</v>
      </c>
      <c r="AJ160">
        <v>40</v>
      </c>
    </row>
    <row r="161" spans="1:36" x14ac:dyDescent="0.25">
      <c r="A161" s="24"/>
      <c r="B161">
        <v>247</v>
      </c>
      <c r="C161">
        <v>19</v>
      </c>
      <c r="D161">
        <v>20</v>
      </c>
      <c r="E161">
        <v>20</v>
      </c>
      <c r="F161">
        <v>21</v>
      </c>
      <c r="G161">
        <v>21</v>
      </c>
      <c r="H161">
        <v>22</v>
      </c>
      <c r="I161">
        <v>23</v>
      </c>
      <c r="J161">
        <v>23</v>
      </c>
      <c r="K161">
        <v>24</v>
      </c>
      <c r="L161">
        <v>25</v>
      </c>
      <c r="M161">
        <v>25</v>
      </c>
      <c r="N161">
        <v>26</v>
      </c>
      <c r="O161">
        <v>27</v>
      </c>
      <c r="P161">
        <v>27</v>
      </c>
      <c r="Q161">
        <v>28</v>
      </c>
      <c r="R161">
        <v>28</v>
      </c>
      <c r="S161">
        <v>29</v>
      </c>
      <c r="T161">
        <v>30</v>
      </c>
      <c r="U161">
        <v>30</v>
      </c>
      <c r="V161">
        <v>31</v>
      </c>
      <c r="W161">
        <v>32</v>
      </c>
      <c r="X161">
        <v>32</v>
      </c>
      <c r="Y161">
        <v>33</v>
      </c>
      <c r="Z161">
        <v>34</v>
      </c>
      <c r="AA161">
        <v>34</v>
      </c>
      <c r="AB161">
        <v>35</v>
      </c>
      <c r="AC161">
        <v>35</v>
      </c>
      <c r="AD161">
        <v>36</v>
      </c>
      <c r="AE161">
        <v>37</v>
      </c>
      <c r="AF161">
        <v>37</v>
      </c>
      <c r="AG161">
        <v>38</v>
      </c>
      <c r="AH161">
        <v>39</v>
      </c>
      <c r="AI161">
        <v>39</v>
      </c>
      <c r="AJ161">
        <v>40</v>
      </c>
    </row>
    <row r="162" spans="1:36" x14ac:dyDescent="0.25">
      <c r="A162" s="24"/>
      <c r="B162">
        <v>248</v>
      </c>
      <c r="C162">
        <v>19</v>
      </c>
      <c r="D162">
        <v>20</v>
      </c>
      <c r="E162">
        <v>20</v>
      </c>
      <c r="F162">
        <v>21</v>
      </c>
      <c r="G162">
        <v>21</v>
      </c>
      <c r="H162">
        <v>22</v>
      </c>
      <c r="I162">
        <v>23</v>
      </c>
      <c r="J162">
        <v>23</v>
      </c>
      <c r="K162">
        <v>24</v>
      </c>
      <c r="L162">
        <v>25</v>
      </c>
      <c r="M162">
        <v>25</v>
      </c>
      <c r="N162">
        <v>26</v>
      </c>
      <c r="O162">
        <v>26</v>
      </c>
      <c r="P162">
        <v>27</v>
      </c>
      <c r="Q162">
        <v>28</v>
      </c>
      <c r="R162">
        <v>28</v>
      </c>
      <c r="S162">
        <v>29</v>
      </c>
      <c r="T162">
        <v>30</v>
      </c>
      <c r="U162">
        <v>30</v>
      </c>
      <c r="V162">
        <v>31</v>
      </c>
      <c r="W162">
        <v>32</v>
      </c>
      <c r="X162">
        <v>32</v>
      </c>
      <c r="Y162">
        <v>33</v>
      </c>
      <c r="Z162">
        <v>33</v>
      </c>
      <c r="AA162">
        <v>34</v>
      </c>
      <c r="AB162">
        <v>35</v>
      </c>
      <c r="AC162">
        <v>35</v>
      </c>
      <c r="AD162">
        <v>36</v>
      </c>
      <c r="AE162">
        <v>37</v>
      </c>
      <c r="AF162">
        <v>37</v>
      </c>
      <c r="AG162">
        <v>38</v>
      </c>
      <c r="AH162">
        <v>39</v>
      </c>
      <c r="AI162">
        <v>39</v>
      </c>
      <c r="AJ162">
        <v>40</v>
      </c>
    </row>
    <row r="163" spans="1:36" x14ac:dyDescent="0.25">
      <c r="A163" s="24"/>
      <c r="B163">
        <v>249</v>
      </c>
      <c r="C163">
        <v>19</v>
      </c>
      <c r="D163">
        <v>20</v>
      </c>
      <c r="E163">
        <v>20</v>
      </c>
      <c r="F163">
        <v>21</v>
      </c>
      <c r="G163">
        <v>21</v>
      </c>
      <c r="H163">
        <v>22</v>
      </c>
      <c r="I163">
        <v>23</v>
      </c>
      <c r="J163">
        <v>23</v>
      </c>
      <c r="K163">
        <v>24</v>
      </c>
      <c r="L163">
        <v>25</v>
      </c>
      <c r="M163">
        <v>25</v>
      </c>
      <c r="N163">
        <v>26</v>
      </c>
      <c r="O163">
        <v>26</v>
      </c>
      <c r="P163">
        <v>27</v>
      </c>
      <c r="Q163">
        <v>28</v>
      </c>
      <c r="R163">
        <v>28</v>
      </c>
      <c r="S163">
        <v>29</v>
      </c>
      <c r="T163">
        <v>30</v>
      </c>
      <c r="U163">
        <v>30</v>
      </c>
      <c r="V163">
        <v>31</v>
      </c>
      <c r="W163">
        <v>32</v>
      </c>
      <c r="X163">
        <v>32</v>
      </c>
      <c r="Y163">
        <v>33</v>
      </c>
      <c r="Z163">
        <v>33</v>
      </c>
      <c r="AA163">
        <v>34</v>
      </c>
      <c r="AB163">
        <v>35</v>
      </c>
      <c r="AC163">
        <v>35</v>
      </c>
      <c r="AD163">
        <v>36</v>
      </c>
      <c r="AE163">
        <v>37</v>
      </c>
      <c r="AF163">
        <v>37</v>
      </c>
      <c r="AG163">
        <v>38</v>
      </c>
      <c r="AH163">
        <v>39</v>
      </c>
      <c r="AI163">
        <v>39</v>
      </c>
      <c r="AJ163">
        <v>40</v>
      </c>
    </row>
    <row r="164" spans="1:36" x14ac:dyDescent="0.25">
      <c r="A164" s="24"/>
      <c r="B164">
        <v>250</v>
      </c>
      <c r="C164">
        <v>19</v>
      </c>
      <c r="D164">
        <v>19</v>
      </c>
      <c r="E164">
        <v>20</v>
      </c>
      <c r="F164">
        <v>21</v>
      </c>
      <c r="G164">
        <v>21</v>
      </c>
      <c r="H164">
        <v>22</v>
      </c>
      <c r="I164">
        <v>23</v>
      </c>
      <c r="J164">
        <v>23</v>
      </c>
      <c r="K164">
        <v>24</v>
      </c>
      <c r="L164">
        <v>25</v>
      </c>
      <c r="M164">
        <v>25</v>
      </c>
      <c r="N164">
        <v>26</v>
      </c>
      <c r="O164">
        <v>26</v>
      </c>
      <c r="P164">
        <v>27</v>
      </c>
      <c r="Q164">
        <v>28</v>
      </c>
      <c r="R164">
        <v>28</v>
      </c>
      <c r="S164">
        <v>29</v>
      </c>
      <c r="T164">
        <v>30</v>
      </c>
      <c r="U164">
        <v>30</v>
      </c>
      <c r="V164">
        <v>31</v>
      </c>
      <c r="W164">
        <v>32</v>
      </c>
      <c r="X164">
        <v>32</v>
      </c>
      <c r="Y164">
        <v>33</v>
      </c>
      <c r="Z164">
        <v>33</v>
      </c>
      <c r="AA164">
        <v>34</v>
      </c>
      <c r="AB164">
        <v>35</v>
      </c>
      <c r="AC164">
        <v>35</v>
      </c>
      <c r="AD164">
        <v>36</v>
      </c>
      <c r="AE164">
        <v>37</v>
      </c>
      <c r="AF164">
        <v>37</v>
      </c>
      <c r="AG164">
        <v>38</v>
      </c>
      <c r="AH164">
        <v>39</v>
      </c>
      <c r="AI164">
        <v>39</v>
      </c>
      <c r="AJ164">
        <v>40</v>
      </c>
    </row>
  </sheetData>
  <mergeCells count="4">
    <mergeCell ref="A4:A164"/>
    <mergeCell ref="C1:AJ1"/>
    <mergeCell ref="A2:A3"/>
    <mergeCell ref="C2:AJ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02855-B334-4DB6-B66C-412EF05CF404}">
  <sheetPr codeName="Sheet7"/>
  <dimension ref="A1:AO46"/>
  <sheetViews>
    <sheetView zoomScale="130" zoomScaleNormal="13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3" sqref="A3"/>
    </sheetView>
  </sheetViews>
  <sheetFormatPr defaultRowHeight="15" x14ac:dyDescent="0.25"/>
  <cols>
    <col min="1" max="1" width="19.85546875" bestFit="1" customWidth="1"/>
    <col min="2" max="41" width="5" customWidth="1"/>
  </cols>
  <sheetData>
    <row r="1" spans="1:41" x14ac:dyDescent="0.25">
      <c r="A1" s="26" t="s">
        <v>19</v>
      </c>
      <c r="B1" s="20" t="s">
        <v>4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</row>
    <row r="2" spans="1:41" x14ac:dyDescent="0.25">
      <c r="A2" s="26"/>
      <c r="B2" s="10">
        <v>60</v>
      </c>
      <c r="C2" s="10">
        <v>60.5</v>
      </c>
      <c r="D2" s="10">
        <v>61</v>
      </c>
      <c r="E2" s="10">
        <v>61.5</v>
      </c>
      <c r="F2" s="10">
        <v>62</v>
      </c>
      <c r="G2" s="10">
        <v>62.5</v>
      </c>
      <c r="H2" s="10">
        <v>63</v>
      </c>
      <c r="I2" s="10">
        <v>63.5</v>
      </c>
      <c r="J2" s="10">
        <v>64</v>
      </c>
      <c r="K2" s="10">
        <v>64.5</v>
      </c>
      <c r="L2" s="10">
        <v>65</v>
      </c>
      <c r="M2" s="10">
        <v>65.5</v>
      </c>
      <c r="N2" s="10">
        <v>66</v>
      </c>
      <c r="O2" s="10">
        <v>66.5</v>
      </c>
      <c r="P2" s="10">
        <v>67</v>
      </c>
      <c r="Q2" s="10">
        <v>67.5</v>
      </c>
      <c r="R2" s="10">
        <v>68</v>
      </c>
      <c r="S2" s="10">
        <v>68.5</v>
      </c>
      <c r="T2" s="10">
        <v>69</v>
      </c>
      <c r="U2" s="10">
        <v>69.5</v>
      </c>
      <c r="V2" s="10">
        <v>70</v>
      </c>
      <c r="W2" s="10">
        <v>70.5</v>
      </c>
      <c r="X2" s="10">
        <v>71</v>
      </c>
      <c r="Y2" s="10">
        <v>71.5</v>
      </c>
      <c r="Z2" s="10">
        <v>72</v>
      </c>
      <c r="AA2" s="10">
        <v>72.5</v>
      </c>
      <c r="AB2" s="10">
        <v>73</v>
      </c>
      <c r="AC2" s="10">
        <v>73.5</v>
      </c>
      <c r="AD2" s="10">
        <v>74</v>
      </c>
      <c r="AE2" s="10">
        <v>74.5</v>
      </c>
      <c r="AF2" s="10">
        <v>75</v>
      </c>
      <c r="AG2" s="10">
        <v>75.5</v>
      </c>
      <c r="AH2" s="10">
        <v>76</v>
      </c>
      <c r="AI2" s="10">
        <v>76.5</v>
      </c>
      <c r="AJ2" s="10">
        <v>77</v>
      </c>
      <c r="AK2" s="10">
        <v>77.5</v>
      </c>
      <c r="AL2" s="10">
        <v>78</v>
      </c>
      <c r="AM2" s="10">
        <v>78.5</v>
      </c>
      <c r="AN2" s="10">
        <v>79</v>
      </c>
      <c r="AO2" s="10">
        <v>79.5</v>
      </c>
    </row>
    <row r="3" spans="1:41" x14ac:dyDescent="0.25">
      <c r="A3">
        <v>13.5</v>
      </c>
      <c r="B3">
        <v>9</v>
      </c>
      <c r="C3">
        <v>9</v>
      </c>
    </row>
    <row r="4" spans="1:41" x14ac:dyDescent="0.25">
      <c r="A4">
        <v>14</v>
      </c>
      <c r="B4">
        <v>11</v>
      </c>
      <c r="C4">
        <v>11</v>
      </c>
      <c r="D4">
        <v>10</v>
      </c>
      <c r="E4">
        <v>10</v>
      </c>
      <c r="F4">
        <v>10</v>
      </c>
      <c r="G4">
        <v>10</v>
      </c>
      <c r="H4">
        <v>9</v>
      </c>
      <c r="I4">
        <v>9</v>
      </c>
    </row>
    <row r="5" spans="1:41" x14ac:dyDescent="0.25">
      <c r="A5">
        <v>14.5</v>
      </c>
      <c r="B5">
        <v>12</v>
      </c>
      <c r="C5">
        <v>12</v>
      </c>
      <c r="D5">
        <v>12</v>
      </c>
      <c r="E5">
        <v>12</v>
      </c>
      <c r="F5">
        <v>11</v>
      </c>
      <c r="G5">
        <v>11</v>
      </c>
      <c r="H5">
        <v>11</v>
      </c>
      <c r="I5">
        <v>11</v>
      </c>
      <c r="J5">
        <v>10</v>
      </c>
      <c r="K5">
        <v>10</v>
      </c>
      <c r="L5">
        <v>10</v>
      </c>
      <c r="M5">
        <v>10</v>
      </c>
      <c r="N5">
        <v>9</v>
      </c>
      <c r="O5">
        <v>9</v>
      </c>
    </row>
    <row r="6" spans="1:41" x14ac:dyDescent="0.25">
      <c r="A6">
        <v>15</v>
      </c>
      <c r="B6">
        <v>13</v>
      </c>
      <c r="C6">
        <v>13</v>
      </c>
      <c r="D6">
        <v>13</v>
      </c>
      <c r="E6">
        <v>13</v>
      </c>
      <c r="F6">
        <v>12</v>
      </c>
      <c r="G6">
        <v>12</v>
      </c>
      <c r="H6">
        <v>12</v>
      </c>
      <c r="I6">
        <v>12</v>
      </c>
      <c r="J6">
        <v>11</v>
      </c>
      <c r="K6">
        <v>11</v>
      </c>
      <c r="L6">
        <v>11</v>
      </c>
      <c r="M6">
        <v>11</v>
      </c>
      <c r="N6">
        <v>10</v>
      </c>
      <c r="O6">
        <v>10</v>
      </c>
      <c r="P6">
        <v>10</v>
      </c>
      <c r="Q6">
        <v>10</v>
      </c>
      <c r="R6">
        <v>10</v>
      </c>
      <c r="S6">
        <v>9</v>
      </c>
      <c r="T6">
        <v>9</v>
      </c>
    </row>
    <row r="7" spans="1:41" x14ac:dyDescent="0.25">
      <c r="A7">
        <v>15.5</v>
      </c>
      <c r="B7">
        <v>15</v>
      </c>
      <c r="C7">
        <v>15</v>
      </c>
      <c r="D7">
        <v>15</v>
      </c>
      <c r="E7">
        <v>15</v>
      </c>
      <c r="F7">
        <v>15</v>
      </c>
      <c r="G7">
        <v>13</v>
      </c>
      <c r="H7">
        <v>13</v>
      </c>
      <c r="I7">
        <v>13</v>
      </c>
      <c r="J7">
        <v>13</v>
      </c>
      <c r="K7">
        <v>12</v>
      </c>
      <c r="L7">
        <v>12</v>
      </c>
      <c r="M7">
        <v>12</v>
      </c>
      <c r="N7">
        <v>12</v>
      </c>
      <c r="O7">
        <v>11</v>
      </c>
      <c r="P7">
        <v>11</v>
      </c>
      <c r="Q7">
        <v>11</v>
      </c>
      <c r="R7">
        <v>11</v>
      </c>
      <c r="S7">
        <v>11</v>
      </c>
      <c r="T7">
        <v>10</v>
      </c>
      <c r="U7">
        <v>10</v>
      </c>
      <c r="V7">
        <v>10</v>
      </c>
      <c r="W7">
        <v>10</v>
      </c>
      <c r="X7">
        <v>9</v>
      </c>
      <c r="Y7">
        <v>9</v>
      </c>
      <c r="Z7">
        <v>9</v>
      </c>
    </row>
    <row r="8" spans="1:41" x14ac:dyDescent="0.25">
      <c r="A8">
        <v>16</v>
      </c>
      <c r="B8">
        <v>16</v>
      </c>
      <c r="C8">
        <v>16</v>
      </c>
      <c r="D8">
        <v>15</v>
      </c>
      <c r="E8">
        <v>15</v>
      </c>
      <c r="F8">
        <v>15</v>
      </c>
      <c r="G8">
        <v>15</v>
      </c>
      <c r="H8">
        <v>14</v>
      </c>
      <c r="I8">
        <v>14</v>
      </c>
      <c r="J8">
        <v>14</v>
      </c>
      <c r="K8">
        <v>14</v>
      </c>
      <c r="L8">
        <v>13</v>
      </c>
      <c r="M8">
        <v>13</v>
      </c>
      <c r="N8">
        <v>13</v>
      </c>
      <c r="O8">
        <v>13</v>
      </c>
      <c r="P8">
        <v>12</v>
      </c>
      <c r="Q8">
        <v>12</v>
      </c>
      <c r="R8">
        <v>12</v>
      </c>
      <c r="S8">
        <v>12</v>
      </c>
      <c r="T8">
        <v>12</v>
      </c>
      <c r="U8">
        <v>11</v>
      </c>
      <c r="V8">
        <v>11</v>
      </c>
      <c r="W8">
        <v>11</v>
      </c>
      <c r="X8">
        <v>11</v>
      </c>
      <c r="Y8">
        <v>10</v>
      </c>
      <c r="Z8">
        <v>10</v>
      </c>
      <c r="AA8">
        <v>10</v>
      </c>
      <c r="AB8">
        <v>10</v>
      </c>
      <c r="AC8">
        <v>10</v>
      </c>
      <c r="AD8">
        <v>9</v>
      </c>
    </row>
    <row r="9" spans="1:41" x14ac:dyDescent="0.25">
      <c r="A9">
        <v>16.5</v>
      </c>
      <c r="B9">
        <v>17</v>
      </c>
      <c r="C9">
        <v>17</v>
      </c>
      <c r="D9">
        <v>16</v>
      </c>
      <c r="E9">
        <v>16</v>
      </c>
      <c r="F9">
        <v>16</v>
      </c>
      <c r="G9">
        <v>16</v>
      </c>
      <c r="H9">
        <v>15</v>
      </c>
      <c r="I9">
        <v>15</v>
      </c>
      <c r="J9">
        <v>15</v>
      </c>
      <c r="K9">
        <v>15</v>
      </c>
      <c r="L9">
        <v>14</v>
      </c>
      <c r="M9">
        <v>14</v>
      </c>
      <c r="N9">
        <v>14</v>
      </c>
      <c r="O9">
        <v>14</v>
      </c>
      <c r="P9">
        <v>14</v>
      </c>
      <c r="Q9">
        <v>13</v>
      </c>
      <c r="R9">
        <v>13</v>
      </c>
      <c r="S9">
        <v>13</v>
      </c>
      <c r="T9">
        <v>13</v>
      </c>
      <c r="U9">
        <v>12</v>
      </c>
      <c r="V9">
        <v>12</v>
      </c>
      <c r="W9">
        <v>12</v>
      </c>
      <c r="X9">
        <v>12</v>
      </c>
      <c r="Y9">
        <v>12</v>
      </c>
      <c r="Z9">
        <v>11</v>
      </c>
      <c r="AA9">
        <v>11</v>
      </c>
      <c r="AB9">
        <v>11</v>
      </c>
      <c r="AC9">
        <v>11</v>
      </c>
      <c r="AD9">
        <v>11</v>
      </c>
      <c r="AE9">
        <v>10</v>
      </c>
      <c r="AF9">
        <v>10</v>
      </c>
      <c r="AG9">
        <v>10</v>
      </c>
      <c r="AH9">
        <v>10</v>
      </c>
      <c r="AI9">
        <v>10</v>
      </c>
      <c r="AJ9">
        <v>9</v>
      </c>
      <c r="AK9">
        <v>9</v>
      </c>
    </row>
    <row r="10" spans="1:41" x14ac:dyDescent="0.25">
      <c r="A10">
        <v>17</v>
      </c>
      <c r="B10">
        <v>18</v>
      </c>
      <c r="C10">
        <v>18</v>
      </c>
      <c r="D10">
        <v>18</v>
      </c>
      <c r="E10">
        <v>17</v>
      </c>
      <c r="F10">
        <v>17</v>
      </c>
      <c r="G10">
        <v>17</v>
      </c>
      <c r="H10">
        <v>17</v>
      </c>
      <c r="I10">
        <v>16</v>
      </c>
      <c r="J10">
        <v>16</v>
      </c>
      <c r="K10">
        <v>16</v>
      </c>
      <c r="L10">
        <v>16</v>
      </c>
      <c r="M10">
        <v>15</v>
      </c>
      <c r="N10">
        <v>15</v>
      </c>
      <c r="O10">
        <v>15</v>
      </c>
      <c r="P10">
        <v>15</v>
      </c>
      <c r="Q10">
        <v>14</v>
      </c>
      <c r="R10">
        <v>14</v>
      </c>
      <c r="S10">
        <v>14</v>
      </c>
      <c r="T10">
        <v>14</v>
      </c>
      <c r="U10">
        <v>14</v>
      </c>
      <c r="V10">
        <v>13</v>
      </c>
      <c r="W10">
        <v>13</v>
      </c>
      <c r="X10">
        <v>13</v>
      </c>
      <c r="Y10">
        <v>13</v>
      </c>
      <c r="Z10">
        <v>13</v>
      </c>
      <c r="AA10">
        <v>12</v>
      </c>
      <c r="AB10">
        <v>12</v>
      </c>
      <c r="AC10">
        <v>12</v>
      </c>
      <c r="AD10">
        <v>12</v>
      </c>
      <c r="AE10">
        <v>11</v>
      </c>
      <c r="AF10">
        <v>11</v>
      </c>
      <c r="AG10">
        <v>11</v>
      </c>
      <c r="AH10">
        <v>11</v>
      </c>
      <c r="AI10">
        <v>11</v>
      </c>
      <c r="AJ10">
        <v>10</v>
      </c>
      <c r="AK10">
        <v>10</v>
      </c>
      <c r="AL10">
        <v>10</v>
      </c>
      <c r="AM10">
        <v>10</v>
      </c>
      <c r="AN10">
        <v>10</v>
      </c>
      <c r="AO10">
        <v>9</v>
      </c>
    </row>
    <row r="11" spans="1:41" x14ac:dyDescent="0.25">
      <c r="A11">
        <v>17.5</v>
      </c>
      <c r="B11">
        <v>19</v>
      </c>
      <c r="C11">
        <v>19</v>
      </c>
      <c r="D11">
        <v>19</v>
      </c>
      <c r="E11">
        <v>18</v>
      </c>
      <c r="F11">
        <v>18</v>
      </c>
      <c r="G11">
        <v>18</v>
      </c>
      <c r="H11">
        <v>18</v>
      </c>
      <c r="I11">
        <v>17</v>
      </c>
      <c r="J11">
        <v>17</v>
      </c>
      <c r="K11">
        <v>17</v>
      </c>
      <c r="L11">
        <v>17</v>
      </c>
      <c r="M11">
        <v>16</v>
      </c>
      <c r="N11">
        <v>16</v>
      </c>
      <c r="O11">
        <v>16</v>
      </c>
      <c r="P11">
        <v>16</v>
      </c>
      <c r="Q11">
        <v>16</v>
      </c>
      <c r="R11">
        <v>15</v>
      </c>
      <c r="S11">
        <v>15</v>
      </c>
      <c r="T11">
        <v>15</v>
      </c>
      <c r="U11">
        <v>15</v>
      </c>
      <c r="V11">
        <v>14</v>
      </c>
      <c r="W11">
        <v>14</v>
      </c>
      <c r="X11">
        <v>14</v>
      </c>
      <c r="Y11">
        <v>14</v>
      </c>
      <c r="Z11">
        <v>14</v>
      </c>
      <c r="AA11">
        <v>13</v>
      </c>
      <c r="AB11">
        <v>13</v>
      </c>
      <c r="AC11">
        <v>13</v>
      </c>
      <c r="AD11">
        <v>13</v>
      </c>
      <c r="AE11">
        <v>13</v>
      </c>
      <c r="AF11">
        <v>12</v>
      </c>
      <c r="AG11">
        <v>12</v>
      </c>
      <c r="AH11">
        <v>12</v>
      </c>
      <c r="AI11">
        <v>12</v>
      </c>
      <c r="AJ11">
        <v>12</v>
      </c>
      <c r="AK11">
        <v>11</v>
      </c>
      <c r="AL11">
        <v>11</v>
      </c>
      <c r="AM11">
        <v>11</v>
      </c>
      <c r="AN11">
        <v>11</v>
      </c>
      <c r="AO11">
        <v>11</v>
      </c>
    </row>
    <row r="12" spans="1:41" x14ac:dyDescent="0.25">
      <c r="A12">
        <v>18</v>
      </c>
      <c r="B12">
        <v>20</v>
      </c>
      <c r="C12">
        <v>20</v>
      </c>
      <c r="D12">
        <v>20</v>
      </c>
      <c r="E12">
        <v>19</v>
      </c>
      <c r="F12">
        <v>19</v>
      </c>
      <c r="G12">
        <v>19</v>
      </c>
      <c r="H12">
        <v>19</v>
      </c>
      <c r="I12">
        <v>18</v>
      </c>
      <c r="J12">
        <v>18</v>
      </c>
      <c r="K12">
        <v>18</v>
      </c>
      <c r="L12">
        <v>18</v>
      </c>
      <c r="M12">
        <v>18</v>
      </c>
      <c r="N12">
        <v>17</v>
      </c>
      <c r="O12">
        <v>17</v>
      </c>
      <c r="P12">
        <v>17</v>
      </c>
      <c r="Q12">
        <v>17</v>
      </c>
      <c r="R12">
        <v>16</v>
      </c>
      <c r="S12">
        <v>16</v>
      </c>
      <c r="T12">
        <v>16</v>
      </c>
      <c r="U12">
        <v>16</v>
      </c>
      <c r="V12">
        <v>15</v>
      </c>
      <c r="W12">
        <v>15</v>
      </c>
      <c r="X12">
        <v>15</v>
      </c>
      <c r="Y12">
        <v>15</v>
      </c>
      <c r="Z12">
        <v>15</v>
      </c>
      <c r="AA12">
        <v>14</v>
      </c>
      <c r="AB12">
        <v>14</v>
      </c>
      <c r="AC12">
        <v>14</v>
      </c>
      <c r="AD12">
        <v>14</v>
      </c>
      <c r="AE12">
        <v>14</v>
      </c>
      <c r="AF12">
        <v>13</v>
      </c>
      <c r="AG12">
        <v>13</v>
      </c>
      <c r="AH12">
        <v>13</v>
      </c>
      <c r="AI12">
        <v>13</v>
      </c>
      <c r="AJ12">
        <v>13</v>
      </c>
      <c r="AK12">
        <v>12</v>
      </c>
      <c r="AL12">
        <v>12</v>
      </c>
      <c r="AM12">
        <v>12</v>
      </c>
      <c r="AN12">
        <v>12</v>
      </c>
      <c r="AO12">
        <v>12</v>
      </c>
    </row>
    <row r="13" spans="1:41" x14ac:dyDescent="0.25">
      <c r="A13">
        <v>18.5</v>
      </c>
      <c r="B13">
        <v>21</v>
      </c>
      <c r="C13">
        <v>21</v>
      </c>
      <c r="D13">
        <v>21</v>
      </c>
      <c r="E13">
        <v>20</v>
      </c>
      <c r="F13">
        <v>20</v>
      </c>
      <c r="G13">
        <v>20</v>
      </c>
      <c r="H13">
        <v>20</v>
      </c>
      <c r="I13">
        <v>19</v>
      </c>
      <c r="J13">
        <v>19</v>
      </c>
      <c r="K13">
        <v>19</v>
      </c>
      <c r="L13">
        <v>19</v>
      </c>
      <c r="M13">
        <v>19</v>
      </c>
      <c r="N13">
        <v>18</v>
      </c>
      <c r="O13">
        <v>18</v>
      </c>
      <c r="P13">
        <v>18</v>
      </c>
      <c r="Q13">
        <v>18</v>
      </c>
      <c r="R13">
        <v>17</v>
      </c>
      <c r="S13">
        <v>17</v>
      </c>
      <c r="T13">
        <v>17</v>
      </c>
      <c r="U13">
        <v>17</v>
      </c>
      <c r="V13">
        <v>17</v>
      </c>
      <c r="W13">
        <v>16</v>
      </c>
      <c r="X13">
        <v>16</v>
      </c>
      <c r="Y13">
        <v>16</v>
      </c>
      <c r="Z13">
        <v>16</v>
      </c>
      <c r="AA13">
        <v>15</v>
      </c>
      <c r="AB13">
        <v>15</v>
      </c>
      <c r="AC13">
        <v>15</v>
      </c>
      <c r="AD13">
        <v>15</v>
      </c>
      <c r="AE13">
        <v>15</v>
      </c>
      <c r="AF13">
        <v>14</v>
      </c>
      <c r="AG13">
        <v>14</v>
      </c>
      <c r="AH13">
        <v>14</v>
      </c>
      <c r="AI13">
        <v>14</v>
      </c>
      <c r="AJ13">
        <v>14</v>
      </c>
      <c r="AK13">
        <v>13</v>
      </c>
      <c r="AL13">
        <v>13</v>
      </c>
      <c r="AM13">
        <v>13</v>
      </c>
      <c r="AN13">
        <v>13</v>
      </c>
      <c r="AO13">
        <v>13</v>
      </c>
    </row>
    <row r="14" spans="1:41" x14ac:dyDescent="0.25">
      <c r="A14">
        <v>19</v>
      </c>
      <c r="B14">
        <v>22</v>
      </c>
      <c r="C14">
        <v>22</v>
      </c>
      <c r="D14">
        <v>22</v>
      </c>
      <c r="E14">
        <v>21</v>
      </c>
      <c r="F14">
        <v>21</v>
      </c>
      <c r="G14">
        <v>21</v>
      </c>
      <c r="H14">
        <v>21</v>
      </c>
      <c r="I14">
        <v>20</v>
      </c>
      <c r="J14">
        <v>20</v>
      </c>
      <c r="K14">
        <v>20</v>
      </c>
      <c r="L14">
        <v>20</v>
      </c>
      <c r="M14">
        <v>20</v>
      </c>
      <c r="N14">
        <v>19</v>
      </c>
      <c r="O14">
        <v>19</v>
      </c>
      <c r="P14">
        <v>19</v>
      </c>
      <c r="Q14">
        <v>19</v>
      </c>
      <c r="R14">
        <v>18</v>
      </c>
      <c r="S14">
        <v>18</v>
      </c>
      <c r="T14">
        <v>18</v>
      </c>
      <c r="U14">
        <v>18</v>
      </c>
      <c r="V14">
        <v>18</v>
      </c>
      <c r="W14">
        <v>17</v>
      </c>
      <c r="X14">
        <v>17</v>
      </c>
      <c r="Y14">
        <v>17</v>
      </c>
      <c r="Z14">
        <v>17</v>
      </c>
      <c r="AA14">
        <v>16</v>
      </c>
      <c r="AB14">
        <v>16</v>
      </c>
      <c r="AC14">
        <v>16</v>
      </c>
      <c r="AD14">
        <v>16</v>
      </c>
      <c r="AE14">
        <v>16</v>
      </c>
      <c r="AF14">
        <v>15</v>
      </c>
      <c r="AG14">
        <v>15</v>
      </c>
      <c r="AH14">
        <v>15</v>
      </c>
      <c r="AI14">
        <v>15</v>
      </c>
      <c r="AJ14">
        <v>15</v>
      </c>
      <c r="AK14">
        <v>14</v>
      </c>
      <c r="AL14">
        <v>14</v>
      </c>
      <c r="AM14">
        <v>14</v>
      </c>
      <c r="AN14">
        <v>14</v>
      </c>
      <c r="AO14">
        <v>14</v>
      </c>
    </row>
    <row r="15" spans="1:41" x14ac:dyDescent="0.25">
      <c r="A15">
        <v>19.5</v>
      </c>
      <c r="B15">
        <v>23</v>
      </c>
      <c r="C15">
        <v>23</v>
      </c>
      <c r="D15">
        <v>23</v>
      </c>
      <c r="E15">
        <v>22</v>
      </c>
      <c r="F15">
        <v>22</v>
      </c>
      <c r="G15">
        <v>22</v>
      </c>
      <c r="H15">
        <v>22</v>
      </c>
      <c r="I15">
        <v>21</v>
      </c>
      <c r="J15">
        <v>21</v>
      </c>
      <c r="K15">
        <v>21</v>
      </c>
      <c r="L15">
        <v>21</v>
      </c>
      <c r="M15">
        <v>21</v>
      </c>
      <c r="N15">
        <v>20</v>
      </c>
      <c r="O15">
        <v>20</v>
      </c>
      <c r="P15">
        <v>20</v>
      </c>
      <c r="Q15">
        <v>20</v>
      </c>
      <c r="R15">
        <v>19</v>
      </c>
      <c r="S15">
        <v>19</v>
      </c>
      <c r="T15">
        <v>19</v>
      </c>
      <c r="U15">
        <v>19</v>
      </c>
      <c r="V15">
        <v>18</v>
      </c>
      <c r="W15">
        <v>18</v>
      </c>
      <c r="X15">
        <v>18</v>
      </c>
      <c r="Y15">
        <v>18</v>
      </c>
      <c r="Z15">
        <v>18</v>
      </c>
      <c r="AA15">
        <v>17</v>
      </c>
      <c r="AB15">
        <v>17</v>
      </c>
      <c r="AC15">
        <v>17</v>
      </c>
      <c r="AD15">
        <v>17</v>
      </c>
      <c r="AE15">
        <v>17</v>
      </c>
      <c r="AF15">
        <v>16</v>
      </c>
      <c r="AG15">
        <v>16</v>
      </c>
      <c r="AH15">
        <v>16</v>
      </c>
      <c r="AI15">
        <v>16</v>
      </c>
      <c r="AJ15">
        <v>16</v>
      </c>
      <c r="AK15">
        <v>15</v>
      </c>
      <c r="AL15">
        <v>15</v>
      </c>
      <c r="AM15">
        <v>15</v>
      </c>
      <c r="AN15">
        <v>15</v>
      </c>
      <c r="AO15">
        <v>15</v>
      </c>
    </row>
    <row r="16" spans="1:41" x14ac:dyDescent="0.25">
      <c r="A16">
        <v>20</v>
      </c>
      <c r="B16">
        <v>24</v>
      </c>
      <c r="C16">
        <v>24</v>
      </c>
      <c r="D16">
        <v>24</v>
      </c>
      <c r="E16">
        <v>23</v>
      </c>
      <c r="F16">
        <v>23</v>
      </c>
      <c r="G16">
        <v>23</v>
      </c>
      <c r="H16">
        <v>23</v>
      </c>
      <c r="I16">
        <v>22</v>
      </c>
      <c r="J16">
        <v>22</v>
      </c>
      <c r="K16">
        <v>22</v>
      </c>
      <c r="L16">
        <v>22</v>
      </c>
      <c r="M16">
        <v>21</v>
      </c>
      <c r="N16">
        <v>21</v>
      </c>
      <c r="O16">
        <v>21</v>
      </c>
      <c r="P16">
        <v>21</v>
      </c>
      <c r="Q16">
        <v>21</v>
      </c>
      <c r="R16">
        <v>20</v>
      </c>
      <c r="S16">
        <v>20</v>
      </c>
      <c r="T16">
        <v>20</v>
      </c>
      <c r="U16">
        <v>20</v>
      </c>
      <c r="V16">
        <v>19</v>
      </c>
      <c r="W16">
        <v>19</v>
      </c>
      <c r="X16">
        <v>19</v>
      </c>
      <c r="Y16">
        <v>19</v>
      </c>
      <c r="Z16">
        <v>19</v>
      </c>
      <c r="AA16">
        <v>18</v>
      </c>
      <c r="AB16">
        <v>18</v>
      </c>
      <c r="AC16">
        <v>18</v>
      </c>
      <c r="AD16">
        <v>18</v>
      </c>
      <c r="AE16">
        <v>18</v>
      </c>
      <c r="AF16">
        <v>17</v>
      </c>
      <c r="AG16">
        <v>17</v>
      </c>
      <c r="AH16">
        <v>17</v>
      </c>
      <c r="AI16">
        <v>17</v>
      </c>
      <c r="AJ16">
        <v>17</v>
      </c>
      <c r="AK16">
        <v>16</v>
      </c>
      <c r="AL16">
        <v>16</v>
      </c>
      <c r="AM16">
        <v>16</v>
      </c>
      <c r="AN16">
        <v>16</v>
      </c>
      <c r="AO16">
        <v>16</v>
      </c>
    </row>
    <row r="17" spans="1:41" x14ac:dyDescent="0.25">
      <c r="A17">
        <v>20.5</v>
      </c>
      <c r="B17">
        <v>25</v>
      </c>
      <c r="C17">
        <v>25</v>
      </c>
      <c r="D17">
        <v>25</v>
      </c>
      <c r="E17">
        <v>24</v>
      </c>
      <c r="F17">
        <v>24</v>
      </c>
      <c r="G17">
        <v>24</v>
      </c>
      <c r="H17">
        <v>24</v>
      </c>
      <c r="I17">
        <v>23</v>
      </c>
      <c r="J17">
        <v>23</v>
      </c>
      <c r="K17">
        <v>23</v>
      </c>
      <c r="L17">
        <v>23</v>
      </c>
      <c r="M17">
        <v>22</v>
      </c>
      <c r="N17">
        <v>22</v>
      </c>
      <c r="O17">
        <v>22</v>
      </c>
      <c r="P17">
        <v>22</v>
      </c>
      <c r="Q17">
        <v>21</v>
      </c>
      <c r="R17">
        <v>21</v>
      </c>
      <c r="S17">
        <v>21</v>
      </c>
      <c r="T17">
        <v>21</v>
      </c>
      <c r="U17">
        <v>21</v>
      </c>
      <c r="V17">
        <v>20</v>
      </c>
      <c r="W17">
        <v>20</v>
      </c>
      <c r="X17">
        <v>20</v>
      </c>
      <c r="Y17">
        <v>20</v>
      </c>
      <c r="Z17">
        <v>19</v>
      </c>
      <c r="AA17">
        <v>19</v>
      </c>
      <c r="AB17">
        <v>19</v>
      </c>
      <c r="AC17">
        <v>19</v>
      </c>
      <c r="AD17">
        <v>19</v>
      </c>
      <c r="AE17">
        <v>18</v>
      </c>
      <c r="AF17">
        <v>18</v>
      </c>
      <c r="AG17">
        <v>18</v>
      </c>
      <c r="AH17">
        <v>18</v>
      </c>
      <c r="AI17">
        <v>18</v>
      </c>
      <c r="AJ17">
        <v>17</v>
      </c>
      <c r="AK17">
        <v>17</v>
      </c>
      <c r="AL17">
        <v>17</v>
      </c>
      <c r="AM17">
        <v>17</v>
      </c>
      <c r="AN17">
        <v>17</v>
      </c>
      <c r="AO17">
        <v>16</v>
      </c>
    </row>
    <row r="18" spans="1:41" x14ac:dyDescent="0.25">
      <c r="A18">
        <v>21</v>
      </c>
      <c r="B18">
        <v>26</v>
      </c>
      <c r="C18">
        <v>26</v>
      </c>
      <c r="D18">
        <v>26</v>
      </c>
      <c r="E18">
        <v>25</v>
      </c>
      <c r="F18">
        <v>25</v>
      </c>
      <c r="G18">
        <v>25</v>
      </c>
      <c r="H18">
        <v>25</v>
      </c>
      <c r="I18">
        <v>24</v>
      </c>
      <c r="J18">
        <v>24</v>
      </c>
      <c r="K18">
        <v>24</v>
      </c>
      <c r="L18">
        <v>24</v>
      </c>
      <c r="M18">
        <v>23</v>
      </c>
      <c r="N18">
        <v>23</v>
      </c>
      <c r="O18">
        <v>23</v>
      </c>
      <c r="P18">
        <v>23</v>
      </c>
      <c r="Q18">
        <v>22</v>
      </c>
      <c r="R18">
        <v>22</v>
      </c>
      <c r="S18">
        <v>22</v>
      </c>
      <c r="T18">
        <v>22</v>
      </c>
      <c r="U18">
        <v>21</v>
      </c>
      <c r="V18">
        <v>21</v>
      </c>
      <c r="W18">
        <v>21</v>
      </c>
      <c r="X18">
        <v>21</v>
      </c>
      <c r="Y18">
        <v>21</v>
      </c>
      <c r="Z18">
        <v>20</v>
      </c>
      <c r="AA18">
        <v>20</v>
      </c>
      <c r="AB18">
        <v>20</v>
      </c>
      <c r="AC18">
        <v>20</v>
      </c>
      <c r="AD18">
        <v>20</v>
      </c>
      <c r="AE18">
        <v>19</v>
      </c>
      <c r="AF18">
        <v>19</v>
      </c>
      <c r="AG18">
        <v>19</v>
      </c>
      <c r="AH18">
        <v>19</v>
      </c>
      <c r="AI18">
        <v>19</v>
      </c>
      <c r="AJ18">
        <v>18</v>
      </c>
      <c r="AK18">
        <v>18</v>
      </c>
      <c r="AL18">
        <v>18</v>
      </c>
      <c r="AM18">
        <v>18</v>
      </c>
      <c r="AN18">
        <v>18</v>
      </c>
      <c r="AO18">
        <v>17</v>
      </c>
    </row>
    <row r="19" spans="1:41" x14ac:dyDescent="0.25">
      <c r="A19">
        <v>21.5</v>
      </c>
      <c r="B19">
        <v>27</v>
      </c>
      <c r="C19">
        <v>27</v>
      </c>
      <c r="D19">
        <v>27</v>
      </c>
      <c r="E19">
        <v>26</v>
      </c>
      <c r="F19">
        <v>26</v>
      </c>
      <c r="G19">
        <v>26</v>
      </c>
      <c r="H19">
        <v>26</v>
      </c>
      <c r="I19">
        <v>25</v>
      </c>
      <c r="J19">
        <v>25</v>
      </c>
      <c r="K19">
        <v>25</v>
      </c>
      <c r="L19">
        <v>24</v>
      </c>
      <c r="M19">
        <v>24</v>
      </c>
      <c r="N19">
        <v>24</v>
      </c>
      <c r="O19">
        <v>24</v>
      </c>
      <c r="P19">
        <v>23</v>
      </c>
      <c r="Q19">
        <v>23</v>
      </c>
      <c r="R19">
        <v>23</v>
      </c>
      <c r="S19">
        <v>23</v>
      </c>
      <c r="T19">
        <v>23</v>
      </c>
      <c r="U19">
        <v>22</v>
      </c>
      <c r="V19">
        <v>22</v>
      </c>
      <c r="W19">
        <v>22</v>
      </c>
      <c r="X19">
        <v>22</v>
      </c>
      <c r="Y19">
        <v>21</v>
      </c>
      <c r="Z19">
        <v>21</v>
      </c>
      <c r="AA19">
        <v>21</v>
      </c>
      <c r="AB19">
        <v>21</v>
      </c>
      <c r="AC19">
        <v>21</v>
      </c>
      <c r="AD19">
        <v>20</v>
      </c>
      <c r="AE19">
        <v>20</v>
      </c>
      <c r="AF19">
        <v>20</v>
      </c>
      <c r="AG19">
        <v>20</v>
      </c>
      <c r="AH19">
        <v>20</v>
      </c>
      <c r="AI19">
        <v>19</v>
      </c>
      <c r="AJ19">
        <v>19</v>
      </c>
      <c r="AK19">
        <v>19</v>
      </c>
      <c r="AL19">
        <v>19</v>
      </c>
      <c r="AM19">
        <v>19</v>
      </c>
      <c r="AN19">
        <v>18</v>
      </c>
      <c r="AO19">
        <v>18</v>
      </c>
    </row>
    <row r="20" spans="1:41" x14ac:dyDescent="0.25">
      <c r="A20">
        <v>22</v>
      </c>
      <c r="B20">
        <v>28</v>
      </c>
      <c r="C20">
        <v>27</v>
      </c>
      <c r="D20">
        <v>27</v>
      </c>
      <c r="E20">
        <v>27</v>
      </c>
      <c r="F20">
        <v>27</v>
      </c>
      <c r="G20">
        <v>26</v>
      </c>
      <c r="H20">
        <v>26</v>
      </c>
      <c r="I20">
        <v>26</v>
      </c>
      <c r="J20">
        <v>26</v>
      </c>
      <c r="K20">
        <v>25</v>
      </c>
      <c r="L20">
        <v>25</v>
      </c>
      <c r="M20">
        <v>25</v>
      </c>
      <c r="N20">
        <v>25</v>
      </c>
      <c r="O20">
        <v>25</v>
      </c>
      <c r="P20">
        <v>24</v>
      </c>
      <c r="Q20">
        <v>24</v>
      </c>
      <c r="R20">
        <v>24</v>
      </c>
      <c r="S20">
        <v>24</v>
      </c>
      <c r="T20">
        <v>23</v>
      </c>
      <c r="U20">
        <v>23</v>
      </c>
      <c r="V20">
        <v>23</v>
      </c>
      <c r="W20">
        <v>23</v>
      </c>
      <c r="X20">
        <v>23</v>
      </c>
      <c r="Y20">
        <v>22</v>
      </c>
      <c r="Z20">
        <v>22</v>
      </c>
      <c r="AA20">
        <v>22</v>
      </c>
      <c r="AB20">
        <v>22</v>
      </c>
      <c r="AC20">
        <v>22</v>
      </c>
      <c r="AD20">
        <v>21</v>
      </c>
      <c r="AE20">
        <v>21</v>
      </c>
      <c r="AF20">
        <v>21</v>
      </c>
      <c r="AG20">
        <v>21</v>
      </c>
      <c r="AH20">
        <v>20</v>
      </c>
      <c r="AI20">
        <v>20</v>
      </c>
      <c r="AJ20">
        <v>20</v>
      </c>
      <c r="AK20">
        <v>20</v>
      </c>
      <c r="AL20">
        <v>20</v>
      </c>
      <c r="AM20">
        <v>20</v>
      </c>
      <c r="AN20">
        <v>19</v>
      </c>
      <c r="AO20">
        <v>19</v>
      </c>
    </row>
    <row r="21" spans="1:41" x14ac:dyDescent="0.25">
      <c r="A21">
        <v>22.5</v>
      </c>
      <c r="B21">
        <v>29</v>
      </c>
      <c r="C21">
        <v>28</v>
      </c>
      <c r="D21">
        <v>28</v>
      </c>
      <c r="E21">
        <v>28</v>
      </c>
      <c r="F21">
        <v>28</v>
      </c>
      <c r="G21">
        <v>27</v>
      </c>
      <c r="H21">
        <v>27</v>
      </c>
      <c r="I21">
        <v>27</v>
      </c>
      <c r="J21">
        <v>27</v>
      </c>
      <c r="K21">
        <v>26</v>
      </c>
      <c r="L21">
        <v>26</v>
      </c>
      <c r="M21">
        <v>26</v>
      </c>
      <c r="N21">
        <v>26</v>
      </c>
      <c r="O21">
        <v>25</v>
      </c>
      <c r="P21">
        <v>25</v>
      </c>
      <c r="Q21">
        <v>25</v>
      </c>
      <c r="R21">
        <v>25</v>
      </c>
      <c r="S21">
        <v>24</v>
      </c>
      <c r="T21">
        <v>24</v>
      </c>
      <c r="U21">
        <v>24</v>
      </c>
      <c r="V21">
        <v>24</v>
      </c>
      <c r="W21">
        <v>24</v>
      </c>
      <c r="X21">
        <v>23</v>
      </c>
      <c r="Y21">
        <v>23</v>
      </c>
      <c r="Z21">
        <v>23</v>
      </c>
      <c r="AA21">
        <v>23</v>
      </c>
      <c r="AB21">
        <v>23</v>
      </c>
      <c r="AC21">
        <v>22</v>
      </c>
      <c r="AD21">
        <v>22</v>
      </c>
      <c r="AE21">
        <v>22</v>
      </c>
      <c r="AF21">
        <v>21</v>
      </c>
      <c r="AG21">
        <v>21</v>
      </c>
      <c r="AH21">
        <v>20</v>
      </c>
      <c r="AI21">
        <v>20</v>
      </c>
      <c r="AJ21">
        <v>20</v>
      </c>
      <c r="AK21">
        <v>20</v>
      </c>
      <c r="AL21">
        <v>20</v>
      </c>
      <c r="AM21">
        <v>20</v>
      </c>
      <c r="AN21">
        <v>19</v>
      </c>
      <c r="AO21">
        <v>19</v>
      </c>
    </row>
    <row r="22" spans="1:41" x14ac:dyDescent="0.25">
      <c r="A22">
        <v>23</v>
      </c>
      <c r="B22">
        <v>29</v>
      </c>
      <c r="C22">
        <v>29</v>
      </c>
      <c r="D22">
        <v>29</v>
      </c>
      <c r="E22">
        <v>29</v>
      </c>
      <c r="F22">
        <v>28</v>
      </c>
      <c r="G22">
        <v>28</v>
      </c>
      <c r="H22">
        <v>28</v>
      </c>
      <c r="I22">
        <v>28</v>
      </c>
      <c r="J22">
        <v>27</v>
      </c>
      <c r="K22">
        <v>27</v>
      </c>
      <c r="L22">
        <v>27</v>
      </c>
      <c r="M22">
        <v>27</v>
      </c>
      <c r="N22">
        <v>26</v>
      </c>
      <c r="O22">
        <v>26</v>
      </c>
      <c r="P22">
        <v>26</v>
      </c>
      <c r="Q22">
        <v>26</v>
      </c>
      <c r="R22">
        <v>26</v>
      </c>
      <c r="S22">
        <v>25</v>
      </c>
      <c r="T22">
        <v>25</v>
      </c>
      <c r="U22">
        <v>25</v>
      </c>
      <c r="V22">
        <v>25</v>
      </c>
      <c r="W22">
        <v>24</v>
      </c>
      <c r="X22">
        <v>24</v>
      </c>
      <c r="Y22">
        <v>24</v>
      </c>
      <c r="Z22">
        <v>24</v>
      </c>
      <c r="AA22">
        <v>24</v>
      </c>
      <c r="AB22">
        <v>23</v>
      </c>
      <c r="AC22">
        <v>23</v>
      </c>
      <c r="AD22">
        <v>23</v>
      </c>
      <c r="AE22">
        <v>23</v>
      </c>
      <c r="AF22">
        <v>23</v>
      </c>
      <c r="AG22">
        <v>22</v>
      </c>
      <c r="AH22">
        <v>22</v>
      </c>
      <c r="AI22">
        <v>22</v>
      </c>
      <c r="AJ22">
        <v>22</v>
      </c>
      <c r="AK22">
        <v>22</v>
      </c>
      <c r="AL22">
        <v>21</v>
      </c>
      <c r="AM22">
        <v>21</v>
      </c>
      <c r="AN22">
        <v>21</v>
      </c>
      <c r="AO22">
        <v>21</v>
      </c>
    </row>
    <row r="23" spans="1:41" x14ac:dyDescent="0.25">
      <c r="A23">
        <v>23.5</v>
      </c>
      <c r="B23">
        <v>30</v>
      </c>
      <c r="C23">
        <v>30</v>
      </c>
      <c r="D23">
        <v>30</v>
      </c>
      <c r="E23">
        <v>29</v>
      </c>
      <c r="F23">
        <v>29</v>
      </c>
      <c r="G23">
        <v>29</v>
      </c>
      <c r="H23">
        <v>29</v>
      </c>
      <c r="I23">
        <v>28</v>
      </c>
      <c r="J23">
        <v>28</v>
      </c>
      <c r="K23">
        <v>28</v>
      </c>
      <c r="L23">
        <v>28</v>
      </c>
      <c r="M23">
        <v>27</v>
      </c>
      <c r="N23">
        <v>27</v>
      </c>
      <c r="O23">
        <v>27</v>
      </c>
      <c r="P23">
        <v>27</v>
      </c>
      <c r="Q23">
        <v>27</v>
      </c>
      <c r="R23">
        <v>26</v>
      </c>
      <c r="S23">
        <v>26</v>
      </c>
      <c r="T23">
        <v>26</v>
      </c>
      <c r="U23">
        <v>26</v>
      </c>
      <c r="V23">
        <v>25</v>
      </c>
      <c r="W23">
        <v>25</v>
      </c>
      <c r="X23">
        <v>25</v>
      </c>
      <c r="Y23">
        <v>25</v>
      </c>
      <c r="Z23">
        <v>25</v>
      </c>
      <c r="AA23">
        <v>24</v>
      </c>
      <c r="AB23">
        <v>24</v>
      </c>
      <c r="AC23">
        <v>24</v>
      </c>
      <c r="AD23">
        <v>24</v>
      </c>
      <c r="AE23">
        <v>24</v>
      </c>
      <c r="AF23">
        <v>23</v>
      </c>
      <c r="AG23">
        <v>23</v>
      </c>
      <c r="AH23">
        <v>23</v>
      </c>
      <c r="AI23">
        <v>23</v>
      </c>
      <c r="AJ23">
        <v>23</v>
      </c>
      <c r="AK23">
        <v>22</v>
      </c>
      <c r="AL23">
        <v>22</v>
      </c>
      <c r="AM23">
        <v>22</v>
      </c>
      <c r="AN23">
        <v>22</v>
      </c>
      <c r="AO23">
        <v>22</v>
      </c>
    </row>
    <row r="24" spans="1:41" x14ac:dyDescent="0.25">
      <c r="A24">
        <v>24</v>
      </c>
      <c r="B24">
        <v>31</v>
      </c>
      <c r="C24">
        <v>31</v>
      </c>
      <c r="D24">
        <v>30</v>
      </c>
      <c r="E24">
        <v>30</v>
      </c>
      <c r="F24">
        <v>30</v>
      </c>
      <c r="G24">
        <v>30</v>
      </c>
      <c r="H24">
        <v>29</v>
      </c>
      <c r="I24">
        <v>29</v>
      </c>
      <c r="J24">
        <v>29</v>
      </c>
      <c r="K24">
        <v>29</v>
      </c>
      <c r="L24">
        <v>28</v>
      </c>
      <c r="M24">
        <v>28</v>
      </c>
      <c r="N24">
        <v>28</v>
      </c>
      <c r="O24">
        <v>28</v>
      </c>
      <c r="P24">
        <v>28</v>
      </c>
      <c r="Q24">
        <v>27</v>
      </c>
      <c r="R24">
        <v>27</v>
      </c>
      <c r="S24">
        <v>27</v>
      </c>
      <c r="T24">
        <v>27</v>
      </c>
      <c r="U24">
        <v>26</v>
      </c>
      <c r="V24">
        <v>26</v>
      </c>
      <c r="W24">
        <v>26</v>
      </c>
      <c r="X24">
        <v>26</v>
      </c>
      <c r="Y24">
        <v>26</v>
      </c>
      <c r="Z24">
        <v>25</v>
      </c>
      <c r="AA24">
        <v>25</v>
      </c>
      <c r="AB24">
        <v>25</v>
      </c>
      <c r="AC24">
        <v>25</v>
      </c>
      <c r="AD24">
        <v>25</v>
      </c>
      <c r="AE24">
        <v>24</v>
      </c>
      <c r="AF24">
        <v>24</v>
      </c>
      <c r="AG24">
        <v>24</v>
      </c>
      <c r="AH24">
        <v>24</v>
      </c>
      <c r="AI24">
        <v>24</v>
      </c>
      <c r="AJ24">
        <v>23</v>
      </c>
      <c r="AK24">
        <v>23</v>
      </c>
      <c r="AL24">
        <v>23</v>
      </c>
      <c r="AM24">
        <v>23</v>
      </c>
      <c r="AN24">
        <v>23</v>
      </c>
      <c r="AO24">
        <v>22</v>
      </c>
    </row>
    <row r="25" spans="1:41" x14ac:dyDescent="0.25">
      <c r="A25">
        <v>24.5</v>
      </c>
      <c r="B25">
        <v>32</v>
      </c>
      <c r="C25">
        <v>31</v>
      </c>
      <c r="D25">
        <v>31</v>
      </c>
      <c r="E25">
        <v>31</v>
      </c>
      <c r="F25">
        <v>30</v>
      </c>
      <c r="G25">
        <v>30</v>
      </c>
      <c r="H25">
        <v>30</v>
      </c>
      <c r="I25">
        <v>30</v>
      </c>
      <c r="J25">
        <v>30</v>
      </c>
      <c r="K25">
        <v>29</v>
      </c>
      <c r="L25">
        <v>29</v>
      </c>
      <c r="M25">
        <v>29</v>
      </c>
      <c r="N25">
        <v>29</v>
      </c>
      <c r="O25">
        <v>29</v>
      </c>
      <c r="P25">
        <v>28</v>
      </c>
      <c r="Q25">
        <v>28</v>
      </c>
      <c r="R25">
        <v>28</v>
      </c>
      <c r="S25">
        <v>28</v>
      </c>
      <c r="T25">
        <v>27</v>
      </c>
      <c r="U25">
        <v>27</v>
      </c>
      <c r="V25">
        <v>27</v>
      </c>
      <c r="W25">
        <v>27</v>
      </c>
      <c r="X25">
        <v>27</v>
      </c>
      <c r="Y25">
        <v>26</v>
      </c>
      <c r="Z25">
        <v>26</v>
      </c>
      <c r="AA25">
        <v>26</v>
      </c>
      <c r="AB25">
        <v>26</v>
      </c>
      <c r="AC25">
        <v>26</v>
      </c>
      <c r="AD25">
        <v>25</v>
      </c>
      <c r="AE25">
        <v>25</v>
      </c>
      <c r="AF25">
        <v>25</v>
      </c>
      <c r="AG25">
        <v>25</v>
      </c>
      <c r="AH25">
        <v>25</v>
      </c>
      <c r="AI25">
        <v>24</v>
      </c>
      <c r="AJ25">
        <v>24</v>
      </c>
      <c r="AK25">
        <v>24</v>
      </c>
      <c r="AL25">
        <v>24</v>
      </c>
      <c r="AM25">
        <v>24</v>
      </c>
      <c r="AN25">
        <v>23</v>
      </c>
      <c r="AO25">
        <v>23</v>
      </c>
    </row>
    <row r="26" spans="1:41" x14ac:dyDescent="0.25">
      <c r="A26">
        <v>25</v>
      </c>
      <c r="B26">
        <v>32</v>
      </c>
      <c r="C26">
        <v>32</v>
      </c>
      <c r="D26">
        <v>32</v>
      </c>
      <c r="E26">
        <v>32</v>
      </c>
      <c r="F26">
        <v>31</v>
      </c>
      <c r="G26">
        <v>31</v>
      </c>
      <c r="H26">
        <v>31</v>
      </c>
      <c r="I26">
        <v>31</v>
      </c>
      <c r="J26">
        <v>30</v>
      </c>
      <c r="K26">
        <v>30</v>
      </c>
      <c r="L26">
        <v>30</v>
      </c>
      <c r="M26">
        <v>30</v>
      </c>
      <c r="N26">
        <v>30</v>
      </c>
      <c r="O26">
        <v>29</v>
      </c>
      <c r="P26">
        <v>29</v>
      </c>
      <c r="Q26">
        <v>29</v>
      </c>
      <c r="R26">
        <v>29</v>
      </c>
      <c r="S26">
        <v>28</v>
      </c>
      <c r="T26">
        <v>28</v>
      </c>
      <c r="U26">
        <v>28</v>
      </c>
      <c r="V26">
        <v>28</v>
      </c>
      <c r="W26">
        <v>28</v>
      </c>
      <c r="X26">
        <v>27</v>
      </c>
      <c r="Y26">
        <v>27</v>
      </c>
      <c r="Z26">
        <v>27</v>
      </c>
      <c r="AA26">
        <v>27</v>
      </c>
      <c r="AB26">
        <v>26</v>
      </c>
      <c r="AC26">
        <v>26</v>
      </c>
      <c r="AD26">
        <v>26</v>
      </c>
      <c r="AE26">
        <v>26</v>
      </c>
      <c r="AF26">
        <v>26</v>
      </c>
      <c r="AG26">
        <v>25</v>
      </c>
      <c r="AH26">
        <v>25</v>
      </c>
      <c r="AI26">
        <v>25</v>
      </c>
      <c r="AJ26">
        <v>25</v>
      </c>
      <c r="AK26">
        <v>25</v>
      </c>
      <c r="AL26">
        <v>24</v>
      </c>
      <c r="AM26">
        <v>24</v>
      </c>
      <c r="AN26">
        <v>24</v>
      </c>
      <c r="AO26">
        <v>24</v>
      </c>
    </row>
    <row r="27" spans="1:41" x14ac:dyDescent="0.25">
      <c r="A27">
        <v>25.5</v>
      </c>
      <c r="B27">
        <v>33</v>
      </c>
      <c r="C27">
        <v>33</v>
      </c>
      <c r="D27">
        <v>33</v>
      </c>
      <c r="E27">
        <v>32</v>
      </c>
      <c r="F27">
        <v>32</v>
      </c>
      <c r="G27">
        <v>32</v>
      </c>
      <c r="H27">
        <v>32</v>
      </c>
      <c r="I27">
        <v>31</v>
      </c>
      <c r="J27">
        <v>31</v>
      </c>
      <c r="K27">
        <v>31</v>
      </c>
      <c r="L27">
        <v>31</v>
      </c>
      <c r="M27">
        <v>31</v>
      </c>
      <c r="N27">
        <v>30</v>
      </c>
      <c r="O27">
        <v>30</v>
      </c>
      <c r="P27">
        <v>30</v>
      </c>
      <c r="Q27">
        <v>30</v>
      </c>
      <c r="R27">
        <v>29</v>
      </c>
      <c r="S27">
        <v>29</v>
      </c>
      <c r="T27">
        <v>29</v>
      </c>
      <c r="U27">
        <v>29</v>
      </c>
      <c r="V27">
        <v>29</v>
      </c>
      <c r="W27">
        <v>28</v>
      </c>
      <c r="X27">
        <v>28</v>
      </c>
      <c r="Y27">
        <v>28</v>
      </c>
      <c r="Z27">
        <v>28</v>
      </c>
      <c r="AA27">
        <v>27</v>
      </c>
      <c r="AB27">
        <v>27</v>
      </c>
      <c r="AC27">
        <v>27</v>
      </c>
      <c r="AD27">
        <v>27</v>
      </c>
      <c r="AE27">
        <v>27</v>
      </c>
      <c r="AF27">
        <v>26</v>
      </c>
      <c r="AG27">
        <v>26</v>
      </c>
      <c r="AH27">
        <v>26</v>
      </c>
      <c r="AI27">
        <v>26</v>
      </c>
      <c r="AJ27">
        <v>26</v>
      </c>
      <c r="AK27">
        <v>25</v>
      </c>
      <c r="AL27">
        <v>25</v>
      </c>
      <c r="AM27">
        <v>25</v>
      </c>
      <c r="AN27">
        <v>25</v>
      </c>
      <c r="AO27">
        <v>25</v>
      </c>
    </row>
    <row r="28" spans="1:41" x14ac:dyDescent="0.25">
      <c r="A28">
        <v>26</v>
      </c>
      <c r="B28">
        <v>34</v>
      </c>
      <c r="C28">
        <v>34</v>
      </c>
      <c r="D28">
        <v>33</v>
      </c>
      <c r="E28">
        <v>33</v>
      </c>
      <c r="F28">
        <v>33</v>
      </c>
      <c r="G28">
        <v>33</v>
      </c>
      <c r="H28">
        <v>32</v>
      </c>
      <c r="I28">
        <v>32</v>
      </c>
      <c r="J28">
        <v>32</v>
      </c>
      <c r="K28">
        <v>32</v>
      </c>
      <c r="L28">
        <v>31</v>
      </c>
      <c r="M28">
        <v>31</v>
      </c>
      <c r="N28">
        <v>31</v>
      </c>
      <c r="O28">
        <v>31</v>
      </c>
      <c r="P28">
        <v>31</v>
      </c>
      <c r="Q28">
        <v>30</v>
      </c>
      <c r="R28">
        <v>30</v>
      </c>
      <c r="S28">
        <v>30</v>
      </c>
      <c r="T28">
        <v>30</v>
      </c>
      <c r="U28">
        <v>29</v>
      </c>
      <c r="V28">
        <v>29</v>
      </c>
      <c r="W28">
        <v>29</v>
      </c>
      <c r="X28">
        <v>29</v>
      </c>
      <c r="Y28">
        <v>29</v>
      </c>
      <c r="Z28">
        <v>28</v>
      </c>
      <c r="AA28">
        <v>28</v>
      </c>
      <c r="AB28">
        <v>28</v>
      </c>
      <c r="AC28">
        <v>28</v>
      </c>
      <c r="AD28">
        <v>28</v>
      </c>
      <c r="AE28">
        <v>27</v>
      </c>
      <c r="AF28">
        <v>27</v>
      </c>
      <c r="AG28">
        <v>27</v>
      </c>
      <c r="AH28">
        <v>27</v>
      </c>
      <c r="AI28">
        <v>27</v>
      </c>
      <c r="AJ28">
        <v>26</v>
      </c>
      <c r="AK28">
        <v>26</v>
      </c>
      <c r="AL28">
        <v>26</v>
      </c>
      <c r="AM28">
        <v>26</v>
      </c>
      <c r="AN28">
        <v>26</v>
      </c>
      <c r="AO28">
        <v>25</v>
      </c>
    </row>
    <row r="29" spans="1:41" x14ac:dyDescent="0.25">
      <c r="A29">
        <v>26.5</v>
      </c>
      <c r="B29">
        <v>35</v>
      </c>
      <c r="C29">
        <v>34</v>
      </c>
      <c r="D29">
        <v>34</v>
      </c>
      <c r="E29">
        <v>34</v>
      </c>
      <c r="F29">
        <v>34</v>
      </c>
      <c r="G29">
        <v>33</v>
      </c>
      <c r="H29">
        <v>33</v>
      </c>
      <c r="I29">
        <v>33</v>
      </c>
      <c r="J29">
        <v>33</v>
      </c>
      <c r="K29">
        <v>32</v>
      </c>
      <c r="L29">
        <v>32</v>
      </c>
      <c r="M29">
        <v>32</v>
      </c>
      <c r="N29">
        <v>32</v>
      </c>
      <c r="O29">
        <v>32</v>
      </c>
      <c r="P29">
        <v>31</v>
      </c>
      <c r="Q29">
        <v>31</v>
      </c>
      <c r="R29">
        <v>31</v>
      </c>
      <c r="S29">
        <v>31</v>
      </c>
      <c r="T29">
        <v>30</v>
      </c>
      <c r="U29">
        <v>30</v>
      </c>
      <c r="V29">
        <v>30</v>
      </c>
      <c r="W29">
        <v>30</v>
      </c>
      <c r="X29">
        <v>30</v>
      </c>
      <c r="Y29">
        <v>29</v>
      </c>
      <c r="Z29">
        <v>29</v>
      </c>
      <c r="AA29">
        <v>29</v>
      </c>
      <c r="AB29">
        <v>29</v>
      </c>
      <c r="AC29">
        <v>28</v>
      </c>
      <c r="AD29">
        <v>28</v>
      </c>
      <c r="AE29">
        <v>28</v>
      </c>
      <c r="AF29">
        <v>28</v>
      </c>
      <c r="AG29">
        <v>28</v>
      </c>
      <c r="AH29">
        <v>27</v>
      </c>
      <c r="AI29">
        <v>27</v>
      </c>
      <c r="AJ29">
        <v>27</v>
      </c>
      <c r="AK29">
        <v>27</v>
      </c>
      <c r="AL29">
        <v>27</v>
      </c>
      <c r="AM29">
        <v>26</v>
      </c>
      <c r="AN29">
        <v>26</v>
      </c>
      <c r="AO29">
        <v>26</v>
      </c>
    </row>
    <row r="30" spans="1:41" x14ac:dyDescent="0.25">
      <c r="A30">
        <v>27</v>
      </c>
      <c r="B30">
        <v>35</v>
      </c>
      <c r="C30">
        <v>35</v>
      </c>
      <c r="D30">
        <v>35</v>
      </c>
      <c r="E30">
        <v>35</v>
      </c>
      <c r="F30">
        <v>34</v>
      </c>
      <c r="G30">
        <v>34</v>
      </c>
      <c r="H30">
        <v>34</v>
      </c>
      <c r="I30">
        <v>34</v>
      </c>
      <c r="J30">
        <v>33</v>
      </c>
      <c r="K30">
        <v>33</v>
      </c>
      <c r="L30">
        <v>33</v>
      </c>
      <c r="M30">
        <v>33</v>
      </c>
      <c r="N30">
        <v>32</v>
      </c>
      <c r="O30">
        <v>32</v>
      </c>
      <c r="P30">
        <v>32</v>
      </c>
      <c r="Q30">
        <v>32</v>
      </c>
      <c r="R30">
        <v>32</v>
      </c>
      <c r="S30">
        <v>31</v>
      </c>
      <c r="T30">
        <v>31</v>
      </c>
      <c r="U30">
        <v>31</v>
      </c>
      <c r="V30">
        <v>31</v>
      </c>
      <c r="W30">
        <v>30</v>
      </c>
      <c r="X30">
        <v>30</v>
      </c>
      <c r="Y30">
        <v>30</v>
      </c>
      <c r="Z30">
        <v>30</v>
      </c>
      <c r="AA30">
        <v>30</v>
      </c>
      <c r="AB30">
        <v>29</v>
      </c>
      <c r="AC30">
        <v>29</v>
      </c>
      <c r="AD30">
        <v>29</v>
      </c>
      <c r="AE30">
        <v>29</v>
      </c>
      <c r="AF30">
        <v>29</v>
      </c>
      <c r="AG30">
        <v>28</v>
      </c>
      <c r="AH30">
        <v>28</v>
      </c>
      <c r="AI30">
        <v>28</v>
      </c>
      <c r="AJ30">
        <v>28</v>
      </c>
      <c r="AK30">
        <v>28</v>
      </c>
      <c r="AL30">
        <v>27</v>
      </c>
      <c r="AM30">
        <v>27</v>
      </c>
      <c r="AN30">
        <v>27</v>
      </c>
      <c r="AO30">
        <v>27</v>
      </c>
    </row>
    <row r="31" spans="1:41" x14ac:dyDescent="0.25">
      <c r="A31">
        <v>27.5</v>
      </c>
      <c r="B31">
        <v>36</v>
      </c>
      <c r="C31">
        <v>36</v>
      </c>
      <c r="D31">
        <v>36</v>
      </c>
      <c r="E31">
        <v>35</v>
      </c>
      <c r="F31">
        <v>35</v>
      </c>
      <c r="G31">
        <v>35</v>
      </c>
      <c r="H31">
        <v>35</v>
      </c>
      <c r="I31">
        <v>34</v>
      </c>
      <c r="J31">
        <v>34</v>
      </c>
      <c r="K31">
        <v>34</v>
      </c>
      <c r="L31">
        <v>34</v>
      </c>
      <c r="M31">
        <v>33</v>
      </c>
      <c r="N31">
        <v>33</v>
      </c>
      <c r="O31">
        <v>33</v>
      </c>
      <c r="P31">
        <v>33</v>
      </c>
      <c r="Q31">
        <v>32</v>
      </c>
      <c r="R31">
        <v>32</v>
      </c>
      <c r="S31">
        <v>32</v>
      </c>
      <c r="T31">
        <v>32</v>
      </c>
      <c r="U31">
        <v>32</v>
      </c>
      <c r="V31">
        <v>31</v>
      </c>
      <c r="W31">
        <v>31</v>
      </c>
      <c r="X31">
        <v>31</v>
      </c>
      <c r="Y31">
        <v>31</v>
      </c>
      <c r="Z31">
        <v>30</v>
      </c>
      <c r="AA31">
        <v>30</v>
      </c>
      <c r="AB31">
        <v>30</v>
      </c>
      <c r="AC31">
        <v>30</v>
      </c>
      <c r="AD31">
        <v>30</v>
      </c>
      <c r="AE31">
        <v>29</v>
      </c>
      <c r="AF31">
        <v>29</v>
      </c>
      <c r="AG31">
        <v>29</v>
      </c>
      <c r="AH31">
        <v>29</v>
      </c>
      <c r="AI31">
        <v>29</v>
      </c>
      <c r="AJ31">
        <v>28</v>
      </c>
      <c r="AK31">
        <v>28</v>
      </c>
      <c r="AL31">
        <v>28</v>
      </c>
      <c r="AM31">
        <v>28</v>
      </c>
      <c r="AN31">
        <v>28</v>
      </c>
      <c r="AO31">
        <v>27</v>
      </c>
    </row>
    <row r="32" spans="1:41" x14ac:dyDescent="0.25">
      <c r="A32">
        <v>28</v>
      </c>
      <c r="B32">
        <v>37</v>
      </c>
      <c r="C32">
        <v>36</v>
      </c>
      <c r="D32">
        <v>36</v>
      </c>
      <c r="E32">
        <v>36</v>
      </c>
      <c r="F32">
        <v>36</v>
      </c>
      <c r="G32">
        <v>35</v>
      </c>
      <c r="H32">
        <v>35</v>
      </c>
      <c r="I32">
        <v>35</v>
      </c>
      <c r="J32">
        <v>35</v>
      </c>
      <c r="K32">
        <v>34</v>
      </c>
      <c r="L32">
        <v>34</v>
      </c>
      <c r="M32">
        <v>34</v>
      </c>
      <c r="N32">
        <v>34</v>
      </c>
      <c r="O32">
        <v>34</v>
      </c>
      <c r="P32">
        <v>33</v>
      </c>
      <c r="Q32">
        <v>33</v>
      </c>
      <c r="R32">
        <v>33</v>
      </c>
      <c r="S32">
        <v>33</v>
      </c>
      <c r="T32">
        <v>32</v>
      </c>
      <c r="U32">
        <v>32</v>
      </c>
      <c r="V32">
        <v>32</v>
      </c>
      <c r="W32">
        <v>32</v>
      </c>
      <c r="X32">
        <v>32</v>
      </c>
      <c r="Y32">
        <v>31</v>
      </c>
      <c r="Z32">
        <v>31</v>
      </c>
      <c r="AA32">
        <v>31</v>
      </c>
      <c r="AB32">
        <v>31</v>
      </c>
      <c r="AC32">
        <v>31</v>
      </c>
      <c r="AD32">
        <v>30</v>
      </c>
      <c r="AE32">
        <v>30</v>
      </c>
      <c r="AF32">
        <v>30</v>
      </c>
      <c r="AG32">
        <v>30</v>
      </c>
      <c r="AH32">
        <v>29</v>
      </c>
      <c r="AI32">
        <v>29</v>
      </c>
      <c r="AJ32">
        <v>29</v>
      </c>
      <c r="AK32">
        <v>29</v>
      </c>
      <c r="AL32">
        <v>29</v>
      </c>
      <c r="AM32">
        <v>29</v>
      </c>
      <c r="AN32">
        <v>28</v>
      </c>
      <c r="AO32">
        <v>28</v>
      </c>
    </row>
    <row r="33" spans="1:41" x14ac:dyDescent="0.25">
      <c r="A33">
        <v>28.5</v>
      </c>
      <c r="D33">
        <v>37</v>
      </c>
      <c r="E33">
        <v>37</v>
      </c>
      <c r="F33">
        <v>36</v>
      </c>
      <c r="G33">
        <v>36</v>
      </c>
      <c r="H33">
        <v>36</v>
      </c>
      <c r="I33">
        <v>36</v>
      </c>
      <c r="J33">
        <v>35</v>
      </c>
      <c r="K33">
        <v>35</v>
      </c>
      <c r="L33">
        <v>35</v>
      </c>
      <c r="M33">
        <v>35</v>
      </c>
      <c r="N33">
        <v>34</v>
      </c>
      <c r="O33">
        <v>34</v>
      </c>
      <c r="P33">
        <v>34</v>
      </c>
      <c r="Q33">
        <v>34</v>
      </c>
      <c r="R33">
        <v>34</v>
      </c>
      <c r="S33">
        <v>33</v>
      </c>
      <c r="T33">
        <v>33</v>
      </c>
      <c r="U33">
        <v>33</v>
      </c>
      <c r="V33">
        <v>33</v>
      </c>
      <c r="W33">
        <v>32</v>
      </c>
      <c r="X33">
        <v>32</v>
      </c>
      <c r="Y33">
        <v>32</v>
      </c>
      <c r="Z33">
        <v>32</v>
      </c>
      <c r="AA33">
        <v>32</v>
      </c>
      <c r="AB33">
        <v>31</v>
      </c>
      <c r="AC33">
        <v>31</v>
      </c>
      <c r="AD33">
        <v>31</v>
      </c>
      <c r="AE33">
        <v>31</v>
      </c>
      <c r="AF33">
        <v>31</v>
      </c>
      <c r="AG33">
        <v>30</v>
      </c>
      <c r="AH33">
        <v>30</v>
      </c>
      <c r="AI33">
        <v>30</v>
      </c>
      <c r="AJ33">
        <v>30</v>
      </c>
      <c r="AK33">
        <v>30</v>
      </c>
      <c r="AL33">
        <v>29</v>
      </c>
      <c r="AM33">
        <v>29</v>
      </c>
      <c r="AN33">
        <v>29</v>
      </c>
      <c r="AO33">
        <v>29</v>
      </c>
    </row>
    <row r="34" spans="1:41" x14ac:dyDescent="0.25">
      <c r="A34">
        <v>29</v>
      </c>
      <c r="F34">
        <v>37</v>
      </c>
      <c r="G34">
        <v>37</v>
      </c>
      <c r="H34">
        <v>37</v>
      </c>
      <c r="I34">
        <v>36</v>
      </c>
      <c r="J34">
        <v>36</v>
      </c>
      <c r="K34">
        <v>36</v>
      </c>
      <c r="L34">
        <v>36</v>
      </c>
      <c r="M34">
        <v>36</v>
      </c>
      <c r="N34">
        <v>36</v>
      </c>
      <c r="O34">
        <v>36</v>
      </c>
      <c r="P34">
        <v>35</v>
      </c>
      <c r="Q34">
        <v>35</v>
      </c>
      <c r="R34">
        <v>35</v>
      </c>
      <c r="S34">
        <v>35</v>
      </c>
      <c r="T34">
        <v>34</v>
      </c>
      <c r="U34">
        <v>34</v>
      </c>
      <c r="V34">
        <v>33</v>
      </c>
      <c r="W34">
        <v>33</v>
      </c>
      <c r="X34">
        <v>33</v>
      </c>
      <c r="Y34">
        <v>33</v>
      </c>
      <c r="Z34">
        <v>32</v>
      </c>
      <c r="AA34">
        <v>32</v>
      </c>
      <c r="AB34">
        <v>32</v>
      </c>
      <c r="AC34">
        <v>32</v>
      </c>
      <c r="AD34">
        <v>32</v>
      </c>
      <c r="AE34">
        <v>31</v>
      </c>
      <c r="AF34">
        <v>31</v>
      </c>
      <c r="AG34">
        <v>31</v>
      </c>
      <c r="AH34">
        <v>31</v>
      </c>
      <c r="AI34">
        <v>31</v>
      </c>
      <c r="AJ34">
        <v>30</v>
      </c>
      <c r="AK34">
        <v>30</v>
      </c>
      <c r="AL34">
        <v>30</v>
      </c>
      <c r="AM34">
        <v>30</v>
      </c>
      <c r="AN34">
        <v>30</v>
      </c>
      <c r="AO34">
        <v>29</v>
      </c>
    </row>
    <row r="35" spans="1:41" x14ac:dyDescent="0.25">
      <c r="A35">
        <v>29.5</v>
      </c>
      <c r="I35">
        <v>37</v>
      </c>
      <c r="J35">
        <v>37</v>
      </c>
      <c r="K35">
        <v>36</v>
      </c>
      <c r="L35">
        <v>36</v>
      </c>
      <c r="M35">
        <v>36</v>
      </c>
      <c r="N35">
        <v>36</v>
      </c>
      <c r="O35">
        <v>36</v>
      </c>
      <c r="P35">
        <v>35</v>
      </c>
      <c r="Q35">
        <v>35</v>
      </c>
      <c r="R35">
        <v>35</v>
      </c>
      <c r="S35">
        <v>35</v>
      </c>
      <c r="T35">
        <v>34</v>
      </c>
      <c r="U35">
        <v>34</v>
      </c>
      <c r="V35">
        <v>34</v>
      </c>
      <c r="W35">
        <v>34</v>
      </c>
      <c r="X35">
        <v>34</v>
      </c>
      <c r="Y35">
        <v>33</v>
      </c>
      <c r="Z35">
        <v>33</v>
      </c>
      <c r="AA35">
        <v>33</v>
      </c>
      <c r="AB35">
        <v>33</v>
      </c>
      <c r="AC35">
        <v>32</v>
      </c>
      <c r="AD35">
        <v>32</v>
      </c>
      <c r="AE35">
        <v>32</v>
      </c>
      <c r="AF35">
        <v>32</v>
      </c>
      <c r="AG35">
        <v>32</v>
      </c>
      <c r="AH35">
        <v>31</v>
      </c>
      <c r="AI35">
        <v>31</v>
      </c>
      <c r="AJ35">
        <v>31</v>
      </c>
      <c r="AK35">
        <v>31</v>
      </c>
      <c r="AL35">
        <v>31</v>
      </c>
      <c r="AM35">
        <v>30</v>
      </c>
      <c r="AN35">
        <v>30</v>
      </c>
      <c r="AO35">
        <v>30</v>
      </c>
    </row>
    <row r="36" spans="1:41" x14ac:dyDescent="0.25">
      <c r="A36">
        <v>30</v>
      </c>
      <c r="L36">
        <v>37</v>
      </c>
      <c r="M36">
        <v>37</v>
      </c>
      <c r="N36">
        <v>36</v>
      </c>
      <c r="O36">
        <v>36</v>
      </c>
      <c r="P36">
        <v>36</v>
      </c>
      <c r="Q36">
        <v>36</v>
      </c>
      <c r="R36">
        <v>35</v>
      </c>
      <c r="S36">
        <v>35</v>
      </c>
      <c r="T36">
        <v>35</v>
      </c>
      <c r="U36">
        <v>35</v>
      </c>
      <c r="V36">
        <v>35</v>
      </c>
      <c r="W36">
        <v>34</v>
      </c>
      <c r="X36">
        <v>34</v>
      </c>
      <c r="Y36">
        <v>34</v>
      </c>
      <c r="Z36">
        <v>34</v>
      </c>
      <c r="AA36">
        <v>34</v>
      </c>
      <c r="AB36">
        <v>33</v>
      </c>
      <c r="AC36">
        <v>33</v>
      </c>
      <c r="AD36">
        <v>33</v>
      </c>
      <c r="AE36">
        <v>33</v>
      </c>
      <c r="AF36">
        <v>32</v>
      </c>
      <c r="AG36">
        <v>32</v>
      </c>
      <c r="AH36">
        <v>32</v>
      </c>
      <c r="AI36">
        <v>32</v>
      </c>
      <c r="AJ36">
        <v>32</v>
      </c>
      <c r="AK36">
        <v>31</v>
      </c>
      <c r="AL36">
        <v>31</v>
      </c>
      <c r="AM36">
        <v>31</v>
      </c>
      <c r="AN36">
        <v>31</v>
      </c>
      <c r="AO36">
        <v>31</v>
      </c>
    </row>
    <row r="37" spans="1:41" x14ac:dyDescent="0.25">
      <c r="A37">
        <v>30.5</v>
      </c>
      <c r="N37">
        <v>37</v>
      </c>
      <c r="O37">
        <v>37</v>
      </c>
      <c r="P37">
        <v>37</v>
      </c>
      <c r="Q37">
        <v>36</v>
      </c>
      <c r="R37">
        <v>36</v>
      </c>
      <c r="S37">
        <v>36</v>
      </c>
      <c r="T37">
        <v>36</v>
      </c>
      <c r="U37">
        <v>35</v>
      </c>
      <c r="V37">
        <v>35</v>
      </c>
      <c r="W37">
        <v>35</v>
      </c>
      <c r="X37">
        <v>35</v>
      </c>
      <c r="Y37">
        <v>35</v>
      </c>
      <c r="Z37">
        <v>34</v>
      </c>
      <c r="AA37">
        <v>34</v>
      </c>
      <c r="AB37">
        <v>34</v>
      </c>
      <c r="AC37">
        <v>34</v>
      </c>
      <c r="AD37">
        <v>34</v>
      </c>
      <c r="AE37">
        <v>33</v>
      </c>
      <c r="AF37">
        <v>33</v>
      </c>
      <c r="AG37">
        <v>33</v>
      </c>
      <c r="AH37">
        <v>33</v>
      </c>
      <c r="AI37">
        <v>32</v>
      </c>
      <c r="AJ37">
        <v>32</v>
      </c>
      <c r="AK37">
        <v>32</v>
      </c>
      <c r="AL37">
        <v>32</v>
      </c>
      <c r="AM37">
        <v>32</v>
      </c>
      <c r="AN37">
        <v>32</v>
      </c>
      <c r="AO37">
        <v>31</v>
      </c>
    </row>
    <row r="38" spans="1:41" x14ac:dyDescent="0.25">
      <c r="A38">
        <v>31</v>
      </c>
      <c r="Q38">
        <v>37</v>
      </c>
      <c r="R38">
        <v>37</v>
      </c>
      <c r="S38">
        <v>36</v>
      </c>
      <c r="T38">
        <v>36</v>
      </c>
      <c r="U38">
        <v>36</v>
      </c>
      <c r="V38">
        <v>36</v>
      </c>
      <c r="W38">
        <v>36</v>
      </c>
      <c r="X38">
        <v>35</v>
      </c>
      <c r="Y38">
        <v>35</v>
      </c>
      <c r="Z38">
        <v>35</v>
      </c>
      <c r="AA38">
        <v>35</v>
      </c>
      <c r="AB38">
        <v>35</v>
      </c>
      <c r="AC38">
        <v>34</v>
      </c>
      <c r="AD38">
        <v>34</v>
      </c>
      <c r="AE38">
        <v>34</v>
      </c>
      <c r="AF38">
        <v>34</v>
      </c>
      <c r="AG38">
        <v>33</v>
      </c>
      <c r="AH38">
        <v>33</v>
      </c>
      <c r="AI38">
        <v>33</v>
      </c>
      <c r="AJ38">
        <v>33</v>
      </c>
      <c r="AK38">
        <v>33</v>
      </c>
      <c r="AL38">
        <v>33</v>
      </c>
      <c r="AM38">
        <v>32</v>
      </c>
      <c r="AN38">
        <v>32</v>
      </c>
      <c r="AO38">
        <v>32</v>
      </c>
    </row>
    <row r="39" spans="1:41" x14ac:dyDescent="0.25">
      <c r="A39">
        <v>31.5</v>
      </c>
      <c r="T39">
        <v>37</v>
      </c>
      <c r="U39">
        <v>37</v>
      </c>
      <c r="V39">
        <v>36</v>
      </c>
      <c r="W39">
        <v>36</v>
      </c>
      <c r="X39">
        <v>36</v>
      </c>
      <c r="Y39">
        <v>36</v>
      </c>
      <c r="Z39">
        <v>36</v>
      </c>
      <c r="AA39">
        <v>35</v>
      </c>
      <c r="AB39">
        <v>35</v>
      </c>
      <c r="AC39">
        <v>35</v>
      </c>
      <c r="AD39">
        <v>35</v>
      </c>
      <c r="AE39">
        <v>35</v>
      </c>
      <c r="AF39">
        <v>34</v>
      </c>
      <c r="AG39">
        <v>34</v>
      </c>
      <c r="AH39">
        <v>34</v>
      </c>
      <c r="AI39">
        <v>34</v>
      </c>
      <c r="AJ39">
        <v>33</v>
      </c>
      <c r="AK39">
        <v>33</v>
      </c>
      <c r="AL39">
        <v>33</v>
      </c>
      <c r="AM39">
        <v>33</v>
      </c>
      <c r="AN39">
        <v>33</v>
      </c>
      <c r="AO39">
        <v>33</v>
      </c>
    </row>
    <row r="40" spans="1:41" x14ac:dyDescent="0.25">
      <c r="A40">
        <v>32</v>
      </c>
      <c r="V40">
        <v>37</v>
      </c>
      <c r="W40">
        <v>37</v>
      </c>
      <c r="X40">
        <v>37</v>
      </c>
      <c r="Y40">
        <v>36</v>
      </c>
      <c r="Z40">
        <v>36</v>
      </c>
      <c r="AA40">
        <v>36</v>
      </c>
      <c r="AB40">
        <v>36</v>
      </c>
      <c r="AC40">
        <v>36</v>
      </c>
      <c r="AD40">
        <v>35</v>
      </c>
      <c r="AE40">
        <v>35</v>
      </c>
      <c r="AF40">
        <v>35</v>
      </c>
      <c r="AG40">
        <v>35</v>
      </c>
      <c r="AH40">
        <v>34</v>
      </c>
      <c r="AI40">
        <v>34</v>
      </c>
      <c r="AJ40">
        <v>34</v>
      </c>
      <c r="AK40">
        <v>34</v>
      </c>
      <c r="AL40">
        <v>34</v>
      </c>
      <c r="AM40">
        <v>33</v>
      </c>
      <c r="AN40">
        <v>33</v>
      </c>
      <c r="AO40">
        <v>33</v>
      </c>
    </row>
    <row r="41" spans="1:41" x14ac:dyDescent="0.25">
      <c r="A41">
        <v>32.5</v>
      </c>
      <c r="Y41">
        <v>37</v>
      </c>
      <c r="Z41">
        <v>37</v>
      </c>
      <c r="AA41">
        <v>36</v>
      </c>
      <c r="AB41">
        <v>36</v>
      </c>
      <c r="AC41">
        <v>36</v>
      </c>
      <c r="AD41">
        <v>36</v>
      </c>
      <c r="AE41">
        <v>36</v>
      </c>
      <c r="AF41">
        <v>35</v>
      </c>
      <c r="AG41">
        <v>35</v>
      </c>
      <c r="AH41">
        <v>35</v>
      </c>
      <c r="AI41">
        <v>35</v>
      </c>
      <c r="AJ41">
        <v>35</v>
      </c>
      <c r="AK41">
        <v>34</v>
      </c>
      <c r="AL41">
        <v>34</v>
      </c>
      <c r="AM41">
        <v>34</v>
      </c>
      <c r="AN41">
        <v>34</v>
      </c>
      <c r="AO41">
        <v>34</v>
      </c>
    </row>
    <row r="42" spans="1:41" x14ac:dyDescent="0.25">
      <c r="A42">
        <v>33</v>
      </c>
      <c r="AB42">
        <v>37</v>
      </c>
      <c r="AC42">
        <v>37</v>
      </c>
      <c r="AD42">
        <v>36</v>
      </c>
      <c r="AE42">
        <v>36</v>
      </c>
      <c r="AF42">
        <v>36</v>
      </c>
      <c r="AG42">
        <v>36</v>
      </c>
      <c r="AH42">
        <v>36</v>
      </c>
      <c r="AI42">
        <v>35</v>
      </c>
      <c r="AJ42">
        <v>35</v>
      </c>
      <c r="AK42">
        <v>35</v>
      </c>
      <c r="AL42">
        <v>35</v>
      </c>
      <c r="AM42">
        <v>35</v>
      </c>
      <c r="AN42">
        <v>34</v>
      </c>
      <c r="AO42">
        <v>34</v>
      </c>
    </row>
    <row r="43" spans="1:41" x14ac:dyDescent="0.25">
      <c r="A43">
        <v>33.5</v>
      </c>
      <c r="AE43">
        <v>37</v>
      </c>
      <c r="AF43">
        <v>37</v>
      </c>
      <c r="AG43">
        <v>36</v>
      </c>
      <c r="AH43">
        <v>36</v>
      </c>
      <c r="AI43">
        <v>36</v>
      </c>
      <c r="AJ43">
        <v>36</v>
      </c>
      <c r="AK43">
        <v>36</v>
      </c>
      <c r="AL43">
        <v>35</v>
      </c>
      <c r="AM43">
        <v>35</v>
      </c>
      <c r="AN43">
        <v>35</v>
      </c>
      <c r="AO43">
        <v>35</v>
      </c>
    </row>
    <row r="44" spans="1:41" x14ac:dyDescent="0.25">
      <c r="A44">
        <v>34</v>
      </c>
      <c r="AG44">
        <v>37</v>
      </c>
      <c r="AH44">
        <v>37</v>
      </c>
      <c r="AI44">
        <v>37</v>
      </c>
      <c r="AJ44">
        <v>36</v>
      </c>
      <c r="AK44">
        <v>36</v>
      </c>
      <c r="AL44">
        <v>36</v>
      </c>
      <c r="AM44">
        <v>36</v>
      </c>
      <c r="AN44">
        <v>36</v>
      </c>
      <c r="AO44">
        <v>35</v>
      </c>
    </row>
    <row r="45" spans="1:41" x14ac:dyDescent="0.25">
      <c r="A45">
        <v>34.5</v>
      </c>
      <c r="AJ45">
        <v>37</v>
      </c>
      <c r="AK45">
        <v>37</v>
      </c>
      <c r="AL45">
        <v>37</v>
      </c>
      <c r="AM45">
        <v>36</v>
      </c>
      <c r="AN45">
        <v>36</v>
      </c>
      <c r="AO45">
        <v>36</v>
      </c>
    </row>
    <row r="46" spans="1:41" x14ac:dyDescent="0.25">
      <c r="A46">
        <v>35</v>
      </c>
      <c r="AM46">
        <v>37</v>
      </c>
      <c r="AN46">
        <v>37</v>
      </c>
      <c r="AO46">
        <v>36</v>
      </c>
    </row>
  </sheetData>
  <mergeCells count="2">
    <mergeCell ref="A1:A2"/>
    <mergeCell ref="B1:T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8DC81-5D59-4154-B4BA-43B688D01482}">
  <sheetPr codeName="Sheet8"/>
  <dimension ref="A1:AO65"/>
  <sheetViews>
    <sheetView zoomScale="160" zoomScaleNormal="16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T69" sqref="T69"/>
    </sheetView>
  </sheetViews>
  <sheetFormatPr defaultRowHeight="15" x14ac:dyDescent="0.25"/>
  <cols>
    <col min="1" max="1" width="19.85546875" bestFit="1" customWidth="1"/>
    <col min="2" max="41" width="5" customWidth="1"/>
  </cols>
  <sheetData>
    <row r="1" spans="1:41" x14ac:dyDescent="0.25">
      <c r="A1" s="26" t="s">
        <v>19</v>
      </c>
      <c r="B1" s="20" t="s">
        <v>4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</row>
    <row r="2" spans="1:41" x14ac:dyDescent="0.25">
      <c r="A2" s="26"/>
      <c r="B2" s="10">
        <v>58</v>
      </c>
      <c r="C2" s="10">
        <v>58.5</v>
      </c>
      <c r="D2" s="10">
        <v>59</v>
      </c>
      <c r="E2" s="10">
        <v>59.5</v>
      </c>
      <c r="F2" s="10">
        <v>60</v>
      </c>
      <c r="G2" s="10">
        <v>60.5</v>
      </c>
      <c r="H2" s="10">
        <v>61</v>
      </c>
      <c r="I2" s="10">
        <v>61.5</v>
      </c>
      <c r="J2" s="10">
        <v>62</v>
      </c>
      <c r="K2" s="10">
        <v>62.5</v>
      </c>
      <c r="L2" s="10">
        <v>63</v>
      </c>
      <c r="M2" s="10">
        <v>63.5</v>
      </c>
      <c r="N2" s="10">
        <v>64</v>
      </c>
      <c r="O2" s="10">
        <v>64.5</v>
      </c>
      <c r="P2" s="10">
        <v>65</v>
      </c>
      <c r="Q2" s="10">
        <v>65.5</v>
      </c>
      <c r="R2" s="10">
        <v>66</v>
      </c>
      <c r="S2" s="10">
        <v>66.5</v>
      </c>
      <c r="T2" s="10">
        <v>67</v>
      </c>
      <c r="U2" s="10">
        <v>67.5</v>
      </c>
      <c r="V2" s="10">
        <v>68</v>
      </c>
      <c r="W2" s="10">
        <v>68.5</v>
      </c>
      <c r="X2" s="10">
        <v>69</v>
      </c>
      <c r="Y2" s="10">
        <v>69.5</v>
      </c>
      <c r="Z2" s="10">
        <v>70</v>
      </c>
      <c r="AA2" s="10">
        <v>70.5</v>
      </c>
      <c r="AB2" s="10">
        <v>71</v>
      </c>
      <c r="AC2" s="10">
        <v>71.5</v>
      </c>
      <c r="AD2" s="10">
        <v>72</v>
      </c>
      <c r="AE2" s="10">
        <v>72.5</v>
      </c>
      <c r="AF2" s="10"/>
      <c r="AG2" s="10"/>
      <c r="AH2" s="10"/>
      <c r="AI2" s="10"/>
      <c r="AJ2" s="10"/>
      <c r="AK2" s="10"/>
      <c r="AL2" s="10"/>
      <c r="AM2" s="10"/>
      <c r="AN2" s="10"/>
      <c r="AO2" s="10"/>
    </row>
    <row r="3" spans="1:41" x14ac:dyDescent="0.25">
      <c r="A3">
        <v>45</v>
      </c>
      <c r="B3">
        <v>19</v>
      </c>
    </row>
    <row r="4" spans="1:41" x14ac:dyDescent="0.25">
      <c r="A4">
        <v>45.5</v>
      </c>
      <c r="B4">
        <v>20</v>
      </c>
      <c r="C4">
        <v>20</v>
      </c>
      <c r="D4">
        <v>19</v>
      </c>
    </row>
    <row r="5" spans="1:41" x14ac:dyDescent="0.25">
      <c r="A5">
        <v>46</v>
      </c>
      <c r="B5">
        <v>21</v>
      </c>
      <c r="C5">
        <v>20</v>
      </c>
      <c r="D5">
        <v>20</v>
      </c>
      <c r="E5">
        <v>20</v>
      </c>
      <c r="F5">
        <v>19</v>
      </c>
    </row>
    <row r="6" spans="1:41" x14ac:dyDescent="0.25">
      <c r="A6">
        <v>46.5</v>
      </c>
      <c r="B6">
        <v>21</v>
      </c>
      <c r="C6">
        <v>21</v>
      </c>
      <c r="D6">
        <v>21</v>
      </c>
      <c r="E6">
        <v>20</v>
      </c>
      <c r="F6">
        <v>20</v>
      </c>
      <c r="G6">
        <v>20</v>
      </c>
      <c r="H6">
        <v>19</v>
      </c>
      <c r="I6">
        <v>19</v>
      </c>
    </row>
    <row r="7" spans="1:41" x14ac:dyDescent="0.25">
      <c r="A7">
        <v>47</v>
      </c>
      <c r="B7">
        <v>22</v>
      </c>
      <c r="C7">
        <v>22</v>
      </c>
      <c r="D7">
        <v>22</v>
      </c>
      <c r="E7">
        <v>21</v>
      </c>
      <c r="F7">
        <v>21</v>
      </c>
      <c r="G7">
        <v>20</v>
      </c>
      <c r="H7">
        <v>20</v>
      </c>
      <c r="I7">
        <v>20</v>
      </c>
      <c r="J7">
        <v>19</v>
      </c>
      <c r="K7">
        <v>19</v>
      </c>
    </row>
    <row r="8" spans="1:41" x14ac:dyDescent="0.25">
      <c r="A8">
        <v>47.5</v>
      </c>
      <c r="B8">
        <v>23</v>
      </c>
      <c r="C8">
        <v>23</v>
      </c>
      <c r="D8">
        <v>22</v>
      </c>
      <c r="E8">
        <v>22</v>
      </c>
      <c r="F8">
        <v>22</v>
      </c>
      <c r="G8">
        <v>21</v>
      </c>
      <c r="H8">
        <v>21</v>
      </c>
      <c r="I8">
        <v>21</v>
      </c>
      <c r="J8">
        <v>20</v>
      </c>
      <c r="K8">
        <v>20</v>
      </c>
      <c r="L8">
        <v>19</v>
      </c>
      <c r="M8">
        <v>19</v>
      </c>
    </row>
    <row r="9" spans="1:41" x14ac:dyDescent="0.25">
      <c r="A9">
        <v>48</v>
      </c>
      <c r="B9">
        <v>24</v>
      </c>
      <c r="C9">
        <v>23</v>
      </c>
      <c r="D9">
        <v>23</v>
      </c>
      <c r="E9">
        <v>23</v>
      </c>
      <c r="F9">
        <v>22</v>
      </c>
      <c r="G9">
        <v>22</v>
      </c>
      <c r="H9">
        <v>22</v>
      </c>
      <c r="I9">
        <v>21</v>
      </c>
      <c r="J9">
        <v>21</v>
      </c>
      <c r="K9">
        <v>21</v>
      </c>
      <c r="L9">
        <v>20</v>
      </c>
      <c r="M9">
        <v>20</v>
      </c>
      <c r="N9">
        <v>20</v>
      </c>
      <c r="O9">
        <v>19</v>
      </c>
    </row>
    <row r="10" spans="1:41" x14ac:dyDescent="0.25">
      <c r="A10">
        <v>48.5</v>
      </c>
      <c r="B10">
        <v>24</v>
      </c>
      <c r="C10">
        <v>24</v>
      </c>
      <c r="D10">
        <v>24</v>
      </c>
      <c r="E10">
        <v>23</v>
      </c>
      <c r="F10">
        <v>23</v>
      </c>
      <c r="G10">
        <v>23</v>
      </c>
      <c r="H10">
        <v>22</v>
      </c>
      <c r="I10">
        <v>22</v>
      </c>
      <c r="J10">
        <v>22</v>
      </c>
      <c r="K10">
        <v>21</v>
      </c>
      <c r="L10">
        <v>21</v>
      </c>
      <c r="M10">
        <v>21</v>
      </c>
      <c r="N10">
        <v>20</v>
      </c>
      <c r="O10">
        <v>20</v>
      </c>
      <c r="P10">
        <v>20</v>
      </c>
      <c r="Q10">
        <v>19</v>
      </c>
    </row>
    <row r="11" spans="1:41" x14ac:dyDescent="0.25">
      <c r="A11">
        <v>49</v>
      </c>
      <c r="B11">
        <v>25</v>
      </c>
      <c r="C11">
        <v>25</v>
      </c>
      <c r="D11">
        <v>24</v>
      </c>
      <c r="E11">
        <v>24</v>
      </c>
      <c r="F11">
        <v>24</v>
      </c>
      <c r="G11">
        <v>23</v>
      </c>
      <c r="H11">
        <v>23</v>
      </c>
      <c r="I11">
        <v>23</v>
      </c>
      <c r="J11">
        <v>22</v>
      </c>
      <c r="K11">
        <v>22</v>
      </c>
      <c r="L11">
        <v>22</v>
      </c>
      <c r="M11">
        <v>21</v>
      </c>
      <c r="N11">
        <v>21</v>
      </c>
      <c r="O11">
        <v>21</v>
      </c>
      <c r="P11">
        <v>20</v>
      </c>
      <c r="Q11">
        <v>20</v>
      </c>
      <c r="R11">
        <v>20</v>
      </c>
      <c r="S11">
        <v>19</v>
      </c>
      <c r="T11">
        <v>19</v>
      </c>
    </row>
    <row r="12" spans="1:41" x14ac:dyDescent="0.25">
      <c r="A12">
        <v>49.5</v>
      </c>
      <c r="B12">
        <v>26</v>
      </c>
      <c r="C12">
        <v>26</v>
      </c>
      <c r="D12">
        <v>25</v>
      </c>
      <c r="E12">
        <v>25</v>
      </c>
      <c r="F12">
        <v>24</v>
      </c>
      <c r="G12">
        <v>24</v>
      </c>
      <c r="H12">
        <v>24</v>
      </c>
      <c r="I12">
        <v>23</v>
      </c>
      <c r="J12">
        <v>23</v>
      </c>
      <c r="K12">
        <v>23</v>
      </c>
      <c r="L12">
        <v>22</v>
      </c>
      <c r="M12">
        <v>22</v>
      </c>
      <c r="N12">
        <v>22</v>
      </c>
      <c r="O12">
        <v>21</v>
      </c>
      <c r="P12">
        <v>21</v>
      </c>
      <c r="Q12">
        <v>21</v>
      </c>
      <c r="R12">
        <v>20</v>
      </c>
      <c r="S12">
        <v>20</v>
      </c>
      <c r="T12">
        <v>20</v>
      </c>
      <c r="U12">
        <v>19</v>
      </c>
      <c r="V12">
        <v>19</v>
      </c>
    </row>
    <row r="13" spans="1:41" x14ac:dyDescent="0.25">
      <c r="A13">
        <v>50</v>
      </c>
      <c r="B13">
        <v>27</v>
      </c>
      <c r="C13">
        <v>26</v>
      </c>
      <c r="D13">
        <v>26</v>
      </c>
      <c r="E13">
        <v>26</v>
      </c>
      <c r="F13">
        <v>25</v>
      </c>
      <c r="G13">
        <v>25</v>
      </c>
      <c r="H13">
        <v>24</v>
      </c>
      <c r="I13">
        <v>24</v>
      </c>
      <c r="J13">
        <v>24</v>
      </c>
      <c r="K13">
        <v>23</v>
      </c>
      <c r="L13">
        <v>23</v>
      </c>
      <c r="M13">
        <v>23</v>
      </c>
      <c r="N13">
        <v>22</v>
      </c>
      <c r="O13">
        <v>22</v>
      </c>
      <c r="P13">
        <v>22</v>
      </c>
      <c r="Q13">
        <v>22</v>
      </c>
      <c r="R13">
        <v>21</v>
      </c>
      <c r="S13">
        <v>21</v>
      </c>
      <c r="T13">
        <v>21</v>
      </c>
      <c r="U13">
        <v>20</v>
      </c>
      <c r="V13">
        <v>20</v>
      </c>
      <c r="W13">
        <v>20</v>
      </c>
      <c r="X13">
        <v>19</v>
      </c>
    </row>
    <row r="14" spans="1:41" x14ac:dyDescent="0.25">
      <c r="A14">
        <v>50.5</v>
      </c>
      <c r="B14">
        <v>27</v>
      </c>
      <c r="C14">
        <v>27</v>
      </c>
      <c r="D14">
        <v>27</v>
      </c>
      <c r="E14">
        <v>26</v>
      </c>
      <c r="F14">
        <v>26</v>
      </c>
      <c r="G14">
        <v>26</v>
      </c>
      <c r="H14">
        <v>25</v>
      </c>
      <c r="I14">
        <v>25</v>
      </c>
      <c r="J14">
        <v>25</v>
      </c>
      <c r="K14">
        <v>24</v>
      </c>
      <c r="L14">
        <v>24</v>
      </c>
      <c r="M14">
        <v>23</v>
      </c>
      <c r="N14">
        <v>23</v>
      </c>
      <c r="O14">
        <v>23</v>
      </c>
      <c r="P14">
        <v>23</v>
      </c>
      <c r="Q14">
        <v>22</v>
      </c>
      <c r="R14">
        <v>22</v>
      </c>
      <c r="S14">
        <v>22</v>
      </c>
      <c r="T14">
        <v>21</v>
      </c>
      <c r="U14">
        <v>21</v>
      </c>
      <c r="V14">
        <v>21</v>
      </c>
      <c r="W14">
        <v>20</v>
      </c>
      <c r="X14">
        <v>20</v>
      </c>
      <c r="Y14">
        <v>20</v>
      </c>
      <c r="Z14">
        <v>19</v>
      </c>
      <c r="AA14">
        <v>19</v>
      </c>
    </row>
    <row r="15" spans="1:41" x14ac:dyDescent="0.25">
      <c r="A15">
        <v>51</v>
      </c>
      <c r="B15">
        <v>28</v>
      </c>
      <c r="C15">
        <v>28</v>
      </c>
      <c r="D15">
        <v>27</v>
      </c>
      <c r="E15">
        <v>27</v>
      </c>
      <c r="F15">
        <v>27</v>
      </c>
      <c r="G15">
        <v>26</v>
      </c>
      <c r="H15">
        <v>26</v>
      </c>
      <c r="I15">
        <v>26</v>
      </c>
      <c r="J15">
        <v>25</v>
      </c>
      <c r="K15">
        <v>25</v>
      </c>
      <c r="L15">
        <v>25</v>
      </c>
      <c r="M15">
        <v>24</v>
      </c>
      <c r="N15">
        <v>24</v>
      </c>
      <c r="O15">
        <v>24</v>
      </c>
      <c r="P15">
        <v>23</v>
      </c>
      <c r="Q15">
        <v>23</v>
      </c>
      <c r="R15">
        <v>23</v>
      </c>
      <c r="S15">
        <v>22</v>
      </c>
      <c r="T15">
        <v>22</v>
      </c>
      <c r="U15">
        <v>22</v>
      </c>
      <c r="V15">
        <v>22</v>
      </c>
      <c r="W15">
        <v>22</v>
      </c>
      <c r="X15">
        <v>21</v>
      </c>
      <c r="Y15">
        <v>21</v>
      </c>
      <c r="Z15">
        <v>21</v>
      </c>
      <c r="AA15">
        <v>20</v>
      </c>
      <c r="AB15">
        <v>20</v>
      </c>
      <c r="AC15">
        <v>20</v>
      </c>
      <c r="AD15">
        <v>20</v>
      </c>
      <c r="AE15">
        <v>19</v>
      </c>
    </row>
    <row r="16" spans="1:41" x14ac:dyDescent="0.25">
      <c r="A16">
        <v>51.5</v>
      </c>
      <c r="B16">
        <v>29</v>
      </c>
      <c r="C16">
        <v>28</v>
      </c>
      <c r="D16">
        <v>28</v>
      </c>
      <c r="E16">
        <v>28</v>
      </c>
      <c r="F16">
        <v>27</v>
      </c>
      <c r="G16">
        <v>27</v>
      </c>
      <c r="H16">
        <v>27</v>
      </c>
      <c r="I16">
        <v>26</v>
      </c>
      <c r="J16">
        <v>26</v>
      </c>
      <c r="K16">
        <v>26</v>
      </c>
      <c r="L16">
        <v>25</v>
      </c>
      <c r="M16">
        <v>25</v>
      </c>
      <c r="N16">
        <v>25</v>
      </c>
      <c r="O16">
        <v>24</v>
      </c>
      <c r="P16">
        <v>24</v>
      </c>
      <c r="Q16">
        <v>24</v>
      </c>
      <c r="R16">
        <v>23</v>
      </c>
      <c r="S16">
        <v>23</v>
      </c>
      <c r="T16">
        <v>23</v>
      </c>
      <c r="U16">
        <v>22</v>
      </c>
      <c r="V16">
        <v>22</v>
      </c>
      <c r="W16">
        <v>22</v>
      </c>
      <c r="X16">
        <v>21</v>
      </c>
      <c r="Y16">
        <v>21</v>
      </c>
      <c r="Z16">
        <v>21</v>
      </c>
      <c r="AA16">
        <v>20</v>
      </c>
      <c r="AB16">
        <v>20</v>
      </c>
      <c r="AC16">
        <v>20</v>
      </c>
      <c r="AD16">
        <v>20</v>
      </c>
      <c r="AE16">
        <v>19</v>
      </c>
    </row>
    <row r="17" spans="1:31" x14ac:dyDescent="0.25">
      <c r="A17">
        <v>52</v>
      </c>
      <c r="B17">
        <v>29</v>
      </c>
      <c r="C17">
        <v>29</v>
      </c>
      <c r="D17">
        <v>29</v>
      </c>
      <c r="E17">
        <v>28</v>
      </c>
      <c r="F17">
        <v>28</v>
      </c>
      <c r="G17">
        <v>28</v>
      </c>
      <c r="H17">
        <v>27</v>
      </c>
      <c r="I17">
        <v>27</v>
      </c>
      <c r="J17">
        <v>27</v>
      </c>
      <c r="K17">
        <v>26</v>
      </c>
      <c r="L17">
        <v>26</v>
      </c>
      <c r="M17">
        <v>26</v>
      </c>
      <c r="N17">
        <v>25</v>
      </c>
      <c r="O17">
        <v>25</v>
      </c>
      <c r="P17">
        <v>25</v>
      </c>
      <c r="Q17">
        <v>24</v>
      </c>
      <c r="R17">
        <v>24</v>
      </c>
      <c r="S17">
        <v>24</v>
      </c>
      <c r="T17">
        <v>23</v>
      </c>
      <c r="U17">
        <v>23</v>
      </c>
      <c r="V17">
        <v>23</v>
      </c>
      <c r="W17">
        <v>22</v>
      </c>
      <c r="X17">
        <v>22</v>
      </c>
      <c r="Y17">
        <v>22</v>
      </c>
      <c r="Z17">
        <v>21</v>
      </c>
      <c r="AA17">
        <v>21</v>
      </c>
      <c r="AB17">
        <v>21</v>
      </c>
      <c r="AC17">
        <v>21</v>
      </c>
      <c r="AD17">
        <v>20</v>
      </c>
      <c r="AE17">
        <v>20</v>
      </c>
    </row>
    <row r="18" spans="1:31" x14ac:dyDescent="0.25">
      <c r="A18">
        <v>52.5</v>
      </c>
      <c r="B18">
        <v>30</v>
      </c>
      <c r="C18">
        <v>30</v>
      </c>
      <c r="D18">
        <v>29</v>
      </c>
      <c r="E18">
        <v>29</v>
      </c>
      <c r="F18">
        <v>29</v>
      </c>
      <c r="G18">
        <v>28</v>
      </c>
      <c r="H18">
        <v>28</v>
      </c>
      <c r="I18">
        <v>28</v>
      </c>
      <c r="J18">
        <v>27</v>
      </c>
      <c r="K18">
        <v>27</v>
      </c>
      <c r="L18">
        <v>27</v>
      </c>
      <c r="M18">
        <v>26</v>
      </c>
      <c r="N18">
        <v>26</v>
      </c>
      <c r="O18">
        <v>26</v>
      </c>
      <c r="P18">
        <v>25</v>
      </c>
      <c r="Q18">
        <v>25</v>
      </c>
      <c r="R18">
        <v>25</v>
      </c>
      <c r="S18">
        <v>24</v>
      </c>
      <c r="T18">
        <v>24</v>
      </c>
      <c r="U18">
        <v>24</v>
      </c>
      <c r="V18">
        <v>23</v>
      </c>
      <c r="W18">
        <v>23</v>
      </c>
      <c r="X18">
        <v>23</v>
      </c>
      <c r="Y18">
        <v>22</v>
      </c>
      <c r="Z18">
        <v>22</v>
      </c>
      <c r="AA18">
        <v>22</v>
      </c>
      <c r="AB18">
        <v>22</v>
      </c>
      <c r="AC18">
        <v>21</v>
      </c>
      <c r="AD18">
        <v>21</v>
      </c>
      <c r="AE18">
        <v>21</v>
      </c>
    </row>
    <row r="19" spans="1:31" x14ac:dyDescent="0.25">
      <c r="A19">
        <v>53</v>
      </c>
      <c r="B19">
        <v>31</v>
      </c>
      <c r="C19">
        <v>30</v>
      </c>
      <c r="D19">
        <v>30</v>
      </c>
      <c r="E19">
        <v>30</v>
      </c>
      <c r="F19">
        <v>29</v>
      </c>
      <c r="G19">
        <v>29</v>
      </c>
      <c r="H19">
        <v>29</v>
      </c>
      <c r="I19">
        <v>28</v>
      </c>
      <c r="J19">
        <v>28</v>
      </c>
      <c r="K19">
        <v>28</v>
      </c>
      <c r="L19">
        <v>27</v>
      </c>
      <c r="M19">
        <v>27</v>
      </c>
      <c r="N19">
        <v>27</v>
      </c>
      <c r="O19">
        <v>26</v>
      </c>
      <c r="P19">
        <v>26</v>
      </c>
      <c r="Q19">
        <v>26</v>
      </c>
      <c r="R19">
        <v>25</v>
      </c>
      <c r="S19">
        <v>25</v>
      </c>
      <c r="T19">
        <v>25</v>
      </c>
      <c r="U19">
        <v>24</v>
      </c>
      <c r="V19">
        <v>24</v>
      </c>
      <c r="W19">
        <v>24</v>
      </c>
      <c r="X19">
        <v>23</v>
      </c>
      <c r="Y19">
        <v>23</v>
      </c>
      <c r="Z19">
        <v>23</v>
      </c>
      <c r="AA19">
        <v>22</v>
      </c>
      <c r="AB19">
        <v>22</v>
      </c>
      <c r="AC19">
        <v>22</v>
      </c>
      <c r="AD19">
        <v>22</v>
      </c>
      <c r="AE19">
        <v>21</v>
      </c>
    </row>
    <row r="20" spans="1:31" x14ac:dyDescent="0.25">
      <c r="A20">
        <v>53.5</v>
      </c>
      <c r="B20">
        <v>31</v>
      </c>
      <c r="C20">
        <v>31</v>
      </c>
      <c r="D20">
        <v>31</v>
      </c>
      <c r="E20">
        <v>30</v>
      </c>
      <c r="F20">
        <v>30</v>
      </c>
      <c r="G20">
        <v>30</v>
      </c>
      <c r="H20">
        <v>29</v>
      </c>
      <c r="I20">
        <v>29</v>
      </c>
      <c r="J20">
        <v>29</v>
      </c>
      <c r="K20">
        <v>28</v>
      </c>
      <c r="L20">
        <v>28</v>
      </c>
      <c r="M20">
        <v>28</v>
      </c>
      <c r="N20">
        <v>27</v>
      </c>
      <c r="O20">
        <v>27</v>
      </c>
      <c r="P20">
        <v>27</v>
      </c>
      <c r="Q20">
        <v>26</v>
      </c>
      <c r="R20">
        <v>26</v>
      </c>
      <c r="S20">
        <v>26</v>
      </c>
      <c r="T20">
        <v>25</v>
      </c>
      <c r="U20">
        <v>25</v>
      </c>
      <c r="V20">
        <v>25</v>
      </c>
      <c r="W20">
        <v>24</v>
      </c>
      <c r="X20">
        <v>24</v>
      </c>
      <c r="Y20">
        <v>24</v>
      </c>
      <c r="Z20">
        <v>23</v>
      </c>
      <c r="AA20">
        <v>23</v>
      </c>
      <c r="AB20">
        <v>23</v>
      </c>
      <c r="AC20">
        <v>23</v>
      </c>
      <c r="AD20">
        <v>22</v>
      </c>
      <c r="AE20">
        <v>22</v>
      </c>
    </row>
    <row r="21" spans="1:31" x14ac:dyDescent="0.25">
      <c r="A21">
        <v>54</v>
      </c>
      <c r="B21">
        <v>32</v>
      </c>
      <c r="C21">
        <v>32</v>
      </c>
      <c r="D21">
        <v>31</v>
      </c>
      <c r="E21">
        <v>31</v>
      </c>
      <c r="F21">
        <v>31</v>
      </c>
      <c r="G21">
        <v>30</v>
      </c>
      <c r="H21">
        <v>30</v>
      </c>
      <c r="I21">
        <v>30</v>
      </c>
      <c r="J21">
        <v>29</v>
      </c>
      <c r="K21">
        <v>29</v>
      </c>
      <c r="L21">
        <v>29</v>
      </c>
      <c r="M21">
        <v>28</v>
      </c>
      <c r="N21">
        <v>28</v>
      </c>
      <c r="O21">
        <v>28</v>
      </c>
      <c r="P21">
        <v>27</v>
      </c>
      <c r="Q21">
        <v>27</v>
      </c>
      <c r="R21">
        <v>27</v>
      </c>
      <c r="S21">
        <v>26</v>
      </c>
      <c r="T21">
        <v>26</v>
      </c>
      <c r="U21">
        <v>26</v>
      </c>
      <c r="V21">
        <v>25</v>
      </c>
      <c r="W21">
        <v>25</v>
      </c>
      <c r="X21">
        <v>25</v>
      </c>
      <c r="Y21">
        <v>24</v>
      </c>
      <c r="Z21">
        <v>24</v>
      </c>
      <c r="AA21">
        <v>24</v>
      </c>
      <c r="AB21">
        <v>24</v>
      </c>
      <c r="AC21">
        <v>23</v>
      </c>
      <c r="AD21">
        <v>23</v>
      </c>
      <c r="AE21">
        <v>23</v>
      </c>
    </row>
    <row r="22" spans="1:31" x14ac:dyDescent="0.25">
      <c r="A22">
        <v>54.5</v>
      </c>
      <c r="B22">
        <v>33</v>
      </c>
      <c r="C22">
        <v>32</v>
      </c>
      <c r="D22">
        <v>32</v>
      </c>
      <c r="E22">
        <v>32</v>
      </c>
      <c r="F22">
        <v>31</v>
      </c>
      <c r="G22">
        <v>31</v>
      </c>
      <c r="H22">
        <v>31</v>
      </c>
      <c r="I22">
        <v>30</v>
      </c>
      <c r="J22">
        <v>30</v>
      </c>
      <c r="K22">
        <v>30</v>
      </c>
      <c r="L22">
        <v>29</v>
      </c>
      <c r="M22">
        <v>29</v>
      </c>
      <c r="N22">
        <v>29</v>
      </c>
      <c r="O22">
        <v>28</v>
      </c>
      <c r="P22">
        <v>28</v>
      </c>
      <c r="Q22">
        <v>28</v>
      </c>
      <c r="R22">
        <v>27</v>
      </c>
      <c r="S22">
        <v>27</v>
      </c>
      <c r="T22">
        <v>27</v>
      </c>
      <c r="U22">
        <v>26</v>
      </c>
      <c r="V22">
        <v>26</v>
      </c>
      <c r="W22">
        <v>26</v>
      </c>
      <c r="X22">
        <v>25</v>
      </c>
      <c r="Y22">
        <v>25</v>
      </c>
      <c r="Z22">
        <v>25</v>
      </c>
      <c r="AA22">
        <v>24</v>
      </c>
      <c r="AB22">
        <v>24</v>
      </c>
      <c r="AC22">
        <v>24</v>
      </c>
      <c r="AD22">
        <v>24</v>
      </c>
      <c r="AE22">
        <v>23</v>
      </c>
    </row>
    <row r="23" spans="1:31" x14ac:dyDescent="0.25">
      <c r="A23">
        <v>55</v>
      </c>
      <c r="B23">
        <v>33</v>
      </c>
      <c r="C23">
        <v>33</v>
      </c>
      <c r="D23">
        <v>33</v>
      </c>
      <c r="E23">
        <v>32</v>
      </c>
      <c r="F23">
        <v>32</v>
      </c>
      <c r="G23">
        <v>32</v>
      </c>
      <c r="H23">
        <v>31</v>
      </c>
      <c r="I23">
        <v>31</v>
      </c>
      <c r="J23">
        <v>31</v>
      </c>
      <c r="K23">
        <v>30</v>
      </c>
      <c r="L23">
        <v>30</v>
      </c>
      <c r="M23">
        <v>30</v>
      </c>
      <c r="N23">
        <v>29</v>
      </c>
      <c r="O23">
        <v>29</v>
      </c>
      <c r="P23">
        <v>29</v>
      </c>
      <c r="Q23">
        <v>28</v>
      </c>
      <c r="R23">
        <v>28</v>
      </c>
      <c r="S23">
        <v>28</v>
      </c>
      <c r="T23">
        <v>27</v>
      </c>
      <c r="U23">
        <v>27</v>
      </c>
      <c r="V23">
        <v>27</v>
      </c>
      <c r="W23">
        <v>26</v>
      </c>
      <c r="X23">
        <v>26</v>
      </c>
      <c r="Y23">
        <v>26</v>
      </c>
      <c r="Z23">
        <v>25</v>
      </c>
      <c r="AA23">
        <v>25</v>
      </c>
      <c r="AB23">
        <v>25</v>
      </c>
      <c r="AC23">
        <v>25</v>
      </c>
      <c r="AD23">
        <v>24</v>
      </c>
      <c r="AE23">
        <v>24</v>
      </c>
    </row>
    <row r="24" spans="1:31" x14ac:dyDescent="0.25">
      <c r="A24">
        <v>55.5</v>
      </c>
      <c r="B24">
        <v>34</v>
      </c>
      <c r="C24">
        <v>34</v>
      </c>
      <c r="D24">
        <v>33</v>
      </c>
      <c r="E24">
        <v>33</v>
      </c>
      <c r="F24">
        <v>33</v>
      </c>
      <c r="G24">
        <v>32</v>
      </c>
      <c r="H24">
        <v>32</v>
      </c>
      <c r="I24">
        <v>32</v>
      </c>
      <c r="J24">
        <v>31</v>
      </c>
      <c r="K24">
        <v>31</v>
      </c>
      <c r="L24">
        <v>31</v>
      </c>
      <c r="M24">
        <v>30</v>
      </c>
      <c r="N24">
        <v>30</v>
      </c>
      <c r="O24">
        <v>30</v>
      </c>
      <c r="P24">
        <v>29</v>
      </c>
      <c r="Q24">
        <v>29</v>
      </c>
      <c r="R24">
        <v>29</v>
      </c>
      <c r="S24">
        <v>28</v>
      </c>
      <c r="T24">
        <v>28</v>
      </c>
      <c r="U24">
        <v>28</v>
      </c>
      <c r="V24">
        <v>27</v>
      </c>
      <c r="W24">
        <v>27</v>
      </c>
      <c r="X24">
        <v>27</v>
      </c>
      <c r="Y24">
        <v>26</v>
      </c>
      <c r="Z24">
        <v>26</v>
      </c>
      <c r="AA24">
        <v>26</v>
      </c>
      <c r="AB24">
        <v>25</v>
      </c>
      <c r="AC24">
        <v>25</v>
      </c>
      <c r="AD24">
        <v>25</v>
      </c>
      <c r="AE24">
        <v>25</v>
      </c>
    </row>
    <row r="25" spans="1:31" x14ac:dyDescent="0.25">
      <c r="A25">
        <v>56</v>
      </c>
      <c r="B25">
        <v>35</v>
      </c>
      <c r="C25">
        <v>34</v>
      </c>
      <c r="D25">
        <v>34</v>
      </c>
      <c r="E25">
        <v>34</v>
      </c>
      <c r="F25">
        <v>33</v>
      </c>
      <c r="G25">
        <v>33</v>
      </c>
      <c r="H25">
        <v>33</v>
      </c>
      <c r="I25">
        <v>32</v>
      </c>
      <c r="J25">
        <v>32</v>
      </c>
      <c r="K25">
        <v>31</v>
      </c>
      <c r="L25">
        <v>31</v>
      </c>
      <c r="M25">
        <v>31</v>
      </c>
      <c r="N25">
        <v>30</v>
      </c>
      <c r="O25">
        <v>30</v>
      </c>
      <c r="P25">
        <v>30</v>
      </c>
      <c r="Q25">
        <v>30</v>
      </c>
      <c r="R25">
        <v>29</v>
      </c>
      <c r="S25">
        <v>29</v>
      </c>
      <c r="T25">
        <v>29</v>
      </c>
      <c r="U25">
        <v>28</v>
      </c>
      <c r="V25">
        <v>28</v>
      </c>
      <c r="W25">
        <v>28</v>
      </c>
      <c r="X25">
        <v>27</v>
      </c>
      <c r="Y25">
        <v>27</v>
      </c>
      <c r="Z25">
        <v>27</v>
      </c>
      <c r="AA25">
        <v>26</v>
      </c>
      <c r="AB25">
        <v>26</v>
      </c>
      <c r="AC25">
        <v>26</v>
      </c>
      <c r="AD25">
        <v>25</v>
      </c>
      <c r="AE25">
        <v>25</v>
      </c>
    </row>
    <row r="26" spans="1:31" x14ac:dyDescent="0.25">
      <c r="A26">
        <v>56.5</v>
      </c>
      <c r="B26">
        <v>35</v>
      </c>
      <c r="C26">
        <v>35</v>
      </c>
      <c r="D26">
        <v>35</v>
      </c>
      <c r="E26">
        <v>34</v>
      </c>
      <c r="F26">
        <v>34</v>
      </c>
      <c r="G26">
        <v>34</v>
      </c>
      <c r="H26">
        <v>33</v>
      </c>
      <c r="I26">
        <v>33</v>
      </c>
      <c r="J26">
        <v>32</v>
      </c>
      <c r="K26">
        <v>32</v>
      </c>
      <c r="L26">
        <v>32</v>
      </c>
      <c r="M26">
        <v>31</v>
      </c>
      <c r="N26">
        <v>31</v>
      </c>
      <c r="O26">
        <v>31</v>
      </c>
      <c r="P26">
        <v>30</v>
      </c>
      <c r="Q26">
        <v>30</v>
      </c>
      <c r="R26">
        <v>30</v>
      </c>
      <c r="S26">
        <v>29</v>
      </c>
      <c r="T26">
        <v>29</v>
      </c>
      <c r="U26">
        <v>29</v>
      </c>
      <c r="V26">
        <v>29</v>
      </c>
      <c r="W26">
        <v>28</v>
      </c>
      <c r="X26">
        <v>28</v>
      </c>
      <c r="Y26">
        <v>28</v>
      </c>
      <c r="Z26">
        <v>27</v>
      </c>
      <c r="AA26">
        <v>27</v>
      </c>
      <c r="AB26">
        <v>27</v>
      </c>
      <c r="AC26">
        <v>26</v>
      </c>
      <c r="AD26">
        <v>26</v>
      </c>
      <c r="AE26">
        <v>26</v>
      </c>
    </row>
    <row r="27" spans="1:31" x14ac:dyDescent="0.25">
      <c r="A27">
        <v>57</v>
      </c>
      <c r="B27">
        <v>36</v>
      </c>
      <c r="C27">
        <v>36</v>
      </c>
      <c r="D27">
        <v>35</v>
      </c>
      <c r="E27">
        <v>35</v>
      </c>
      <c r="F27">
        <v>34</v>
      </c>
      <c r="G27">
        <v>34</v>
      </c>
      <c r="H27">
        <v>34</v>
      </c>
      <c r="I27">
        <v>33</v>
      </c>
      <c r="J27">
        <v>33</v>
      </c>
      <c r="K27">
        <v>33</v>
      </c>
      <c r="L27">
        <v>32</v>
      </c>
      <c r="M27">
        <v>32</v>
      </c>
      <c r="N27">
        <v>32</v>
      </c>
      <c r="O27">
        <v>31</v>
      </c>
      <c r="P27">
        <v>31</v>
      </c>
      <c r="Q27">
        <v>31</v>
      </c>
      <c r="R27">
        <v>30</v>
      </c>
      <c r="S27">
        <v>30</v>
      </c>
      <c r="T27">
        <v>30</v>
      </c>
      <c r="U27">
        <v>29</v>
      </c>
      <c r="V27">
        <v>29</v>
      </c>
      <c r="W27">
        <v>29</v>
      </c>
      <c r="X27">
        <v>29</v>
      </c>
      <c r="Y27">
        <v>28</v>
      </c>
      <c r="Z27">
        <v>28</v>
      </c>
      <c r="AA27">
        <v>28</v>
      </c>
      <c r="AB27">
        <v>27</v>
      </c>
      <c r="AC27">
        <v>27</v>
      </c>
      <c r="AD27">
        <v>27</v>
      </c>
      <c r="AE27">
        <v>26</v>
      </c>
    </row>
    <row r="28" spans="1:31" x14ac:dyDescent="0.25">
      <c r="A28">
        <v>57.5</v>
      </c>
      <c r="B28">
        <v>37</v>
      </c>
      <c r="C28">
        <v>36</v>
      </c>
      <c r="D28">
        <v>36</v>
      </c>
      <c r="E28">
        <v>35</v>
      </c>
      <c r="F28">
        <v>35</v>
      </c>
      <c r="G28">
        <v>35</v>
      </c>
      <c r="H28">
        <v>34</v>
      </c>
      <c r="I28">
        <v>34</v>
      </c>
      <c r="J28">
        <v>34</v>
      </c>
      <c r="K28">
        <v>33</v>
      </c>
      <c r="L28">
        <v>33</v>
      </c>
      <c r="M28">
        <v>33</v>
      </c>
      <c r="N28">
        <v>32</v>
      </c>
      <c r="O28">
        <v>32</v>
      </c>
      <c r="P28">
        <v>32</v>
      </c>
      <c r="Q28">
        <v>31</v>
      </c>
      <c r="R28">
        <v>31</v>
      </c>
      <c r="S28">
        <v>31</v>
      </c>
      <c r="T28">
        <v>30</v>
      </c>
      <c r="U28">
        <v>30</v>
      </c>
      <c r="V28">
        <v>30</v>
      </c>
      <c r="W28">
        <v>29</v>
      </c>
      <c r="X28">
        <v>29</v>
      </c>
      <c r="Y28">
        <v>29</v>
      </c>
      <c r="Z28">
        <v>29</v>
      </c>
      <c r="AA28">
        <v>28</v>
      </c>
      <c r="AB28">
        <v>28</v>
      </c>
      <c r="AC28">
        <v>28</v>
      </c>
      <c r="AD28">
        <v>27</v>
      </c>
      <c r="AE28">
        <v>27</v>
      </c>
    </row>
    <row r="29" spans="1:31" x14ac:dyDescent="0.25">
      <c r="A29">
        <v>58</v>
      </c>
      <c r="B29">
        <v>37</v>
      </c>
      <c r="C29">
        <v>37</v>
      </c>
      <c r="D29">
        <v>36</v>
      </c>
      <c r="E29">
        <v>36</v>
      </c>
      <c r="F29">
        <v>36</v>
      </c>
      <c r="G29">
        <v>35</v>
      </c>
      <c r="H29">
        <v>35</v>
      </c>
      <c r="I29">
        <v>35</v>
      </c>
      <c r="J29">
        <v>34</v>
      </c>
      <c r="K29">
        <v>34</v>
      </c>
      <c r="L29">
        <v>34</v>
      </c>
      <c r="M29">
        <v>33</v>
      </c>
      <c r="N29">
        <v>33</v>
      </c>
      <c r="O29">
        <v>33</v>
      </c>
      <c r="P29">
        <v>32</v>
      </c>
      <c r="Q29">
        <v>32</v>
      </c>
      <c r="R29">
        <v>32</v>
      </c>
      <c r="S29">
        <v>31</v>
      </c>
      <c r="T29">
        <v>31</v>
      </c>
      <c r="U29">
        <v>31</v>
      </c>
      <c r="V29">
        <v>30</v>
      </c>
      <c r="W29">
        <v>30</v>
      </c>
      <c r="X29">
        <v>30</v>
      </c>
      <c r="Y29">
        <v>29</v>
      </c>
      <c r="Z29">
        <v>29</v>
      </c>
      <c r="AA29">
        <v>29</v>
      </c>
      <c r="AB29">
        <v>29</v>
      </c>
      <c r="AC29">
        <v>28</v>
      </c>
      <c r="AD29">
        <v>28</v>
      </c>
      <c r="AE29">
        <v>28</v>
      </c>
    </row>
    <row r="30" spans="1:31" x14ac:dyDescent="0.25">
      <c r="A30">
        <v>58.5</v>
      </c>
      <c r="B30">
        <v>38</v>
      </c>
      <c r="C30">
        <v>37</v>
      </c>
      <c r="D30">
        <v>37</v>
      </c>
      <c r="E30">
        <v>37</v>
      </c>
      <c r="F30">
        <v>36</v>
      </c>
      <c r="G30">
        <v>36</v>
      </c>
      <c r="H30">
        <v>36</v>
      </c>
      <c r="I30">
        <v>35</v>
      </c>
      <c r="J30">
        <v>35</v>
      </c>
      <c r="K30">
        <v>35</v>
      </c>
      <c r="L30">
        <v>34</v>
      </c>
      <c r="M30">
        <v>34</v>
      </c>
      <c r="N30">
        <v>34</v>
      </c>
      <c r="O30">
        <v>33</v>
      </c>
      <c r="P30">
        <v>33</v>
      </c>
      <c r="Q30">
        <v>33</v>
      </c>
      <c r="R30">
        <v>32</v>
      </c>
      <c r="S30">
        <v>32</v>
      </c>
      <c r="T30">
        <v>32</v>
      </c>
      <c r="U30">
        <v>31</v>
      </c>
      <c r="V30">
        <v>31</v>
      </c>
      <c r="W30">
        <v>31</v>
      </c>
      <c r="X30">
        <v>30</v>
      </c>
      <c r="Y30">
        <v>30</v>
      </c>
      <c r="Z30">
        <v>30</v>
      </c>
      <c r="AA30">
        <v>29</v>
      </c>
      <c r="AB30">
        <v>29</v>
      </c>
      <c r="AC30">
        <v>29</v>
      </c>
      <c r="AD30">
        <v>29</v>
      </c>
      <c r="AE30">
        <v>28</v>
      </c>
    </row>
    <row r="31" spans="1:31" x14ac:dyDescent="0.25">
      <c r="A31">
        <v>59</v>
      </c>
      <c r="B31">
        <v>38</v>
      </c>
      <c r="C31">
        <v>38</v>
      </c>
      <c r="D31">
        <v>38</v>
      </c>
      <c r="E31">
        <v>37</v>
      </c>
      <c r="F31">
        <v>37</v>
      </c>
      <c r="G31">
        <v>37</v>
      </c>
      <c r="H31">
        <v>36</v>
      </c>
      <c r="I31">
        <v>36</v>
      </c>
      <c r="J31">
        <v>36</v>
      </c>
      <c r="K31">
        <v>35</v>
      </c>
      <c r="L31">
        <v>35</v>
      </c>
      <c r="M31">
        <v>35</v>
      </c>
      <c r="N31">
        <v>34</v>
      </c>
      <c r="O31">
        <v>34</v>
      </c>
      <c r="P31">
        <v>34</v>
      </c>
      <c r="Q31">
        <v>33</v>
      </c>
      <c r="R31">
        <v>33</v>
      </c>
      <c r="S31">
        <v>33</v>
      </c>
      <c r="T31">
        <v>32</v>
      </c>
      <c r="U31">
        <v>32</v>
      </c>
      <c r="V31">
        <v>32</v>
      </c>
      <c r="W31">
        <v>31</v>
      </c>
      <c r="X31">
        <v>31</v>
      </c>
      <c r="Y31">
        <v>31</v>
      </c>
      <c r="Z31">
        <v>30</v>
      </c>
      <c r="AA31">
        <v>30</v>
      </c>
      <c r="AB31">
        <v>30</v>
      </c>
      <c r="AC31">
        <v>29</v>
      </c>
      <c r="AD31">
        <v>29</v>
      </c>
      <c r="AE31">
        <v>29</v>
      </c>
    </row>
    <row r="32" spans="1:31" x14ac:dyDescent="0.25">
      <c r="A32">
        <v>59.5</v>
      </c>
      <c r="B32">
        <v>39</v>
      </c>
      <c r="C32">
        <v>39</v>
      </c>
      <c r="D32">
        <v>38</v>
      </c>
      <c r="E32">
        <v>38</v>
      </c>
      <c r="F32">
        <v>38</v>
      </c>
      <c r="G32">
        <v>37</v>
      </c>
      <c r="H32">
        <v>37</v>
      </c>
      <c r="I32">
        <v>36</v>
      </c>
      <c r="J32">
        <v>36</v>
      </c>
      <c r="K32">
        <v>36</v>
      </c>
      <c r="L32">
        <v>35</v>
      </c>
      <c r="M32">
        <v>35</v>
      </c>
      <c r="N32">
        <v>35</v>
      </c>
      <c r="O32">
        <v>34</v>
      </c>
      <c r="P32">
        <v>34</v>
      </c>
      <c r="Q32">
        <v>34</v>
      </c>
      <c r="R32">
        <v>33</v>
      </c>
      <c r="S32">
        <v>33</v>
      </c>
      <c r="T32">
        <v>33</v>
      </c>
      <c r="U32">
        <v>33</v>
      </c>
      <c r="V32">
        <v>32</v>
      </c>
      <c r="W32">
        <v>32</v>
      </c>
      <c r="X32">
        <v>32</v>
      </c>
      <c r="Y32">
        <v>31</v>
      </c>
      <c r="Z32">
        <v>31</v>
      </c>
      <c r="AA32">
        <v>31</v>
      </c>
      <c r="AB32">
        <v>30</v>
      </c>
      <c r="AC32">
        <v>30</v>
      </c>
      <c r="AD32">
        <v>30</v>
      </c>
      <c r="AE32">
        <v>29</v>
      </c>
    </row>
    <row r="33" spans="1:31" x14ac:dyDescent="0.25">
      <c r="A33">
        <v>60</v>
      </c>
      <c r="B33">
        <v>40</v>
      </c>
      <c r="C33">
        <v>39</v>
      </c>
      <c r="D33">
        <v>39</v>
      </c>
      <c r="E33">
        <v>38</v>
      </c>
      <c r="F33">
        <v>38</v>
      </c>
      <c r="G33">
        <v>38</v>
      </c>
      <c r="H33">
        <v>37</v>
      </c>
      <c r="I33">
        <v>37</v>
      </c>
      <c r="J33">
        <v>37</v>
      </c>
      <c r="K33">
        <v>36</v>
      </c>
      <c r="L33">
        <v>36</v>
      </c>
      <c r="M33">
        <v>36</v>
      </c>
      <c r="N33">
        <v>35</v>
      </c>
      <c r="O33">
        <v>35</v>
      </c>
      <c r="P33">
        <v>35</v>
      </c>
      <c r="Q33">
        <v>34</v>
      </c>
      <c r="R33">
        <v>34</v>
      </c>
      <c r="S33">
        <v>34</v>
      </c>
      <c r="T33">
        <v>33</v>
      </c>
      <c r="U33">
        <v>33</v>
      </c>
      <c r="V33">
        <v>33</v>
      </c>
      <c r="W33">
        <v>32</v>
      </c>
      <c r="X33">
        <v>32</v>
      </c>
      <c r="Y33">
        <v>32</v>
      </c>
      <c r="Z33">
        <v>32</v>
      </c>
      <c r="AA33">
        <v>31</v>
      </c>
      <c r="AB33">
        <v>31</v>
      </c>
      <c r="AC33">
        <v>31</v>
      </c>
      <c r="AD33">
        <v>30</v>
      </c>
      <c r="AE33">
        <v>30</v>
      </c>
    </row>
    <row r="34" spans="1:31" x14ac:dyDescent="0.25">
      <c r="A34">
        <v>60.5</v>
      </c>
      <c r="B34">
        <v>40</v>
      </c>
      <c r="C34">
        <v>40</v>
      </c>
      <c r="D34">
        <v>39</v>
      </c>
      <c r="E34">
        <v>39</v>
      </c>
      <c r="F34">
        <v>39</v>
      </c>
      <c r="G34">
        <v>38</v>
      </c>
      <c r="H34">
        <v>38</v>
      </c>
      <c r="I34">
        <v>38</v>
      </c>
      <c r="J34">
        <v>37</v>
      </c>
      <c r="K34">
        <v>37</v>
      </c>
      <c r="L34">
        <v>37</v>
      </c>
      <c r="M34">
        <v>36</v>
      </c>
      <c r="N34">
        <v>36</v>
      </c>
      <c r="O34">
        <v>36</v>
      </c>
      <c r="P34">
        <v>35</v>
      </c>
      <c r="Q34">
        <v>35</v>
      </c>
      <c r="R34">
        <v>35</v>
      </c>
      <c r="S34">
        <v>34</v>
      </c>
      <c r="T34">
        <v>34</v>
      </c>
      <c r="U34">
        <v>34</v>
      </c>
      <c r="V34">
        <v>33</v>
      </c>
      <c r="W34">
        <v>33</v>
      </c>
      <c r="X34">
        <v>33</v>
      </c>
      <c r="Y34">
        <v>32</v>
      </c>
      <c r="Z34">
        <v>32</v>
      </c>
      <c r="AA34">
        <v>32</v>
      </c>
      <c r="AB34">
        <v>32</v>
      </c>
      <c r="AC34">
        <v>31</v>
      </c>
      <c r="AD34">
        <v>31</v>
      </c>
      <c r="AE34">
        <v>31</v>
      </c>
    </row>
    <row r="35" spans="1:31" x14ac:dyDescent="0.25">
      <c r="A35">
        <v>61</v>
      </c>
      <c r="B35">
        <v>41</v>
      </c>
      <c r="C35">
        <v>40</v>
      </c>
      <c r="D35">
        <v>40</v>
      </c>
      <c r="E35">
        <v>40</v>
      </c>
      <c r="F35">
        <v>39</v>
      </c>
      <c r="G35">
        <v>39</v>
      </c>
      <c r="H35">
        <v>39</v>
      </c>
      <c r="I35">
        <v>38</v>
      </c>
      <c r="J35">
        <v>38</v>
      </c>
      <c r="K35">
        <v>38</v>
      </c>
      <c r="L35">
        <v>37</v>
      </c>
      <c r="M35">
        <v>37</v>
      </c>
      <c r="N35">
        <v>37</v>
      </c>
      <c r="O35">
        <v>36</v>
      </c>
      <c r="P35">
        <v>36</v>
      </c>
      <c r="Q35">
        <v>36</v>
      </c>
      <c r="R35">
        <v>35</v>
      </c>
      <c r="S35">
        <v>35</v>
      </c>
      <c r="T35">
        <v>35</v>
      </c>
      <c r="U35">
        <v>34</v>
      </c>
      <c r="V35">
        <v>34</v>
      </c>
      <c r="W35">
        <v>34</v>
      </c>
      <c r="X35">
        <v>33</v>
      </c>
      <c r="Y35">
        <v>33</v>
      </c>
      <c r="Z35">
        <v>33</v>
      </c>
      <c r="AA35">
        <v>32</v>
      </c>
      <c r="AB35">
        <v>32</v>
      </c>
      <c r="AC35">
        <v>32</v>
      </c>
      <c r="AD35">
        <v>32</v>
      </c>
      <c r="AE35">
        <v>31</v>
      </c>
    </row>
    <row r="36" spans="1:31" x14ac:dyDescent="0.25">
      <c r="A36">
        <v>61.5</v>
      </c>
      <c r="B36">
        <v>41</v>
      </c>
      <c r="C36">
        <v>41</v>
      </c>
      <c r="D36">
        <v>41</v>
      </c>
      <c r="E36">
        <v>40</v>
      </c>
      <c r="F36">
        <v>40</v>
      </c>
      <c r="G36">
        <v>40</v>
      </c>
      <c r="H36">
        <v>39</v>
      </c>
      <c r="I36">
        <v>39</v>
      </c>
      <c r="J36">
        <v>38</v>
      </c>
      <c r="K36">
        <v>38</v>
      </c>
      <c r="L36">
        <v>38</v>
      </c>
      <c r="M36">
        <v>37</v>
      </c>
      <c r="N36">
        <v>37</v>
      </c>
      <c r="O36">
        <v>37</v>
      </c>
      <c r="P36">
        <v>36</v>
      </c>
      <c r="Q36">
        <v>36</v>
      </c>
      <c r="R36">
        <v>36</v>
      </c>
      <c r="S36">
        <v>36</v>
      </c>
      <c r="T36">
        <v>35</v>
      </c>
      <c r="U36">
        <v>35</v>
      </c>
      <c r="V36">
        <v>35</v>
      </c>
      <c r="W36">
        <v>34</v>
      </c>
      <c r="X36">
        <v>34</v>
      </c>
      <c r="Y36">
        <v>34</v>
      </c>
      <c r="Z36">
        <v>33</v>
      </c>
      <c r="AA36">
        <v>33</v>
      </c>
      <c r="AB36">
        <v>33</v>
      </c>
      <c r="AC36">
        <v>32</v>
      </c>
      <c r="AD36">
        <v>32</v>
      </c>
      <c r="AE36">
        <v>32</v>
      </c>
    </row>
    <row r="37" spans="1:31" x14ac:dyDescent="0.25">
      <c r="A37">
        <v>62</v>
      </c>
      <c r="B37">
        <v>42</v>
      </c>
      <c r="C37">
        <v>42</v>
      </c>
      <c r="D37">
        <v>41</v>
      </c>
      <c r="E37">
        <v>41</v>
      </c>
      <c r="F37">
        <v>40</v>
      </c>
      <c r="G37">
        <v>40</v>
      </c>
      <c r="H37">
        <v>40</v>
      </c>
      <c r="I37">
        <v>39</v>
      </c>
      <c r="J37">
        <v>39</v>
      </c>
      <c r="K37">
        <v>39</v>
      </c>
      <c r="L37">
        <v>38</v>
      </c>
      <c r="M37">
        <v>38</v>
      </c>
      <c r="N37">
        <v>38</v>
      </c>
      <c r="O37">
        <v>37</v>
      </c>
      <c r="P37">
        <v>37</v>
      </c>
      <c r="Q37">
        <v>37</v>
      </c>
      <c r="R37">
        <v>36</v>
      </c>
      <c r="S37">
        <v>36</v>
      </c>
      <c r="T37">
        <v>36</v>
      </c>
      <c r="U37">
        <v>35</v>
      </c>
      <c r="V37">
        <v>35</v>
      </c>
      <c r="W37">
        <v>35</v>
      </c>
      <c r="X37">
        <v>35</v>
      </c>
      <c r="Y37">
        <v>34</v>
      </c>
      <c r="Z37">
        <v>34</v>
      </c>
      <c r="AA37">
        <v>34</v>
      </c>
      <c r="AB37">
        <v>33</v>
      </c>
      <c r="AC37">
        <v>33</v>
      </c>
      <c r="AD37">
        <v>33</v>
      </c>
      <c r="AE37">
        <v>32</v>
      </c>
    </row>
    <row r="38" spans="1:31" x14ac:dyDescent="0.25">
      <c r="A38">
        <v>62.5</v>
      </c>
      <c r="B38">
        <v>42</v>
      </c>
      <c r="C38">
        <v>42</v>
      </c>
      <c r="D38">
        <v>42</v>
      </c>
      <c r="E38">
        <v>41</v>
      </c>
      <c r="F38">
        <v>41</v>
      </c>
      <c r="G38">
        <v>41</v>
      </c>
      <c r="H38">
        <v>40</v>
      </c>
      <c r="I38">
        <v>40</v>
      </c>
      <c r="J38">
        <v>40</v>
      </c>
      <c r="K38">
        <v>39</v>
      </c>
      <c r="L38">
        <v>39</v>
      </c>
      <c r="M38">
        <v>39</v>
      </c>
      <c r="N38">
        <v>38</v>
      </c>
      <c r="O38">
        <v>38</v>
      </c>
      <c r="P38">
        <v>38</v>
      </c>
      <c r="Q38">
        <v>37</v>
      </c>
      <c r="R38">
        <v>37</v>
      </c>
      <c r="S38">
        <v>37</v>
      </c>
      <c r="T38">
        <v>36</v>
      </c>
      <c r="U38">
        <v>36</v>
      </c>
      <c r="V38">
        <v>36</v>
      </c>
      <c r="W38">
        <v>35</v>
      </c>
      <c r="X38">
        <v>35</v>
      </c>
      <c r="Y38">
        <v>35</v>
      </c>
      <c r="Z38">
        <v>34</v>
      </c>
      <c r="AA38">
        <v>34</v>
      </c>
      <c r="AB38">
        <v>34</v>
      </c>
      <c r="AC38">
        <v>34</v>
      </c>
      <c r="AD38">
        <v>33</v>
      </c>
      <c r="AE38">
        <v>33</v>
      </c>
    </row>
    <row r="39" spans="1:31" x14ac:dyDescent="0.25">
      <c r="A39">
        <v>63</v>
      </c>
      <c r="B39">
        <v>43</v>
      </c>
      <c r="C39">
        <v>43</v>
      </c>
      <c r="D39">
        <v>42</v>
      </c>
      <c r="E39">
        <v>42</v>
      </c>
      <c r="F39">
        <v>42</v>
      </c>
      <c r="G39">
        <v>41</v>
      </c>
      <c r="H39">
        <v>41</v>
      </c>
      <c r="I39">
        <v>41</v>
      </c>
      <c r="J39">
        <v>40</v>
      </c>
      <c r="K39">
        <v>40</v>
      </c>
      <c r="L39">
        <v>40</v>
      </c>
      <c r="M39">
        <v>39</v>
      </c>
      <c r="N39">
        <v>39</v>
      </c>
      <c r="O39">
        <v>39</v>
      </c>
      <c r="P39">
        <v>38</v>
      </c>
      <c r="Q39">
        <v>38</v>
      </c>
      <c r="R39">
        <v>38</v>
      </c>
      <c r="S39">
        <v>37</v>
      </c>
      <c r="T39">
        <v>37</v>
      </c>
      <c r="U39">
        <v>37</v>
      </c>
      <c r="V39">
        <v>36</v>
      </c>
      <c r="W39">
        <v>36</v>
      </c>
      <c r="X39">
        <v>36</v>
      </c>
      <c r="Y39">
        <v>35</v>
      </c>
      <c r="Z39">
        <v>35</v>
      </c>
      <c r="AA39">
        <v>35</v>
      </c>
      <c r="AB39">
        <v>34</v>
      </c>
      <c r="AC39">
        <v>34</v>
      </c>
      <c r="AD39">
        <v>34</v>
      </c>
      <c r="AE39">
        <v>34</v>
      </c>
    </row>
    <row r="40" spans="1:31" x14ac:dyDescent="0.25">
      <c r="A40">
        <v>63.5</v>
      </c>
      <c r="B40">
        <v>44</v>
      </c>
      <c r="C40">
        <v>43</v>
      </c>
      <c r="D40">
        <v>43</v>
      </c>
      <c r="E40">
        <v>42</v>
      </c>
      <c r="F40">
        <v>42</v>
      </c>
      <c r="G40">
        <v>42</v>
      </c>
      <c r="H40">
        <v>41</v>
      </c>
      <c r="I40">
        <v>41</v>
      </c>
      <c r="J40">
        <v>41</v>
      </c>
      <c r="K40">
        <v>40</v>
      </c>
      <c r="L40">
        <v>40</v>
      </c>
      <c r="M40">
        <v>40</v>
      </c>
      <c r="N40">
        <v>39</v>
      </c>
      <c r="O40">
        <v>39</v>
      </c>
      <c r="P40">
        <v>39</v>
      </c>
      <c r="Q40">
        <v>38</v>
      </c>
      <c r="R40">
        <v>38</v>
      </c>
      <c r="S40">
        <v>38</v>
      </c>
      <c r="T40">
        <v>37</v>
      </c>
      <c r="U40">
        <v>37</v>
      </c>
      <c r="V40">
        <v>37</v>
      </c>
      <c r="W40">
        <v>37</v>
      </c>
      <c r="X40">
        <v>36</v>
      </c>
      <c r="Y40">
        <v>36</v>
      </c>
      <c r="Z40">
        <v>36</v>
      </c>
      <c r="AA40">
        <v>35</v>
      </c>
      <c r="AB40">
        <v>35</v>
      </c>
      <c r="AC40">
        <v>35</v>
      </c>
      <c r="AD40">
        <v>34</v>
      </c>
      <c r="AE40">
        <v>34</v>
      </c>
    </row>
    <row r="41" spans="1:31" x14ac:dyDescent="0.25">
      <c r="A41">
        <v>64</v>
      </c>
      <c r="B41">
        <v>44</v>
      </c>
      <c r="C41">
        <v>44</v>
      </c>
      <c r="D41">
        <v>43</v>
      </c>
      <c r="E41">
        <v>43</v>
      </c>
      <c r="F41">
        <v>43</v>
      </c>
      <c r="G41">
        <v>42</v>
      </c>
      <c r="H41">
        <v>42</v>
      </c>
      <c r="I41">
        <v>42</v>
      </c>
      <c r="J41">
        <v>41</v>
      </c>
      <c r="K41">
        <v>41</v>
      </c>
      <c r="L41">
        <v>41</v>
      </c>
      <c r="M41">
        <v>40</v>
      </c>
      <c r="N41">
        <v>40</v>
      </c>
      <c r="O41">
        <v>40</v>
      </c>
      <c r="P41">
        <v>39</v>
      </c>
      <c r="Q41">
        <v>39</v>
      </c>
      <c r="R41">
        <v>39</v>
      </c>
      <c r="S41">
        <v>38</v>
      </c>
      <c r="T41">
        <v>38</v>
      </c>
      <c r="U41">
        <v>38</v>
      </c>
      <c r="V41">
        <v>37</v>
      </c>
      <c r="W41">
        <v>37</v>
      </c>
      <c r="X41">
        <v>37</v>
      </c>
      <c r="Y41">
        <v>36</v>
      </c>
      <c r="Z41">
        <v>36</v>
      </c>
      <c r="AA41">
        <v>36</v>
      </c>
      <c r="AB41">
        <v>36</v>
      </c>
      <c r="AC41">
        <v>35</v>
      </c>
      <c r="AD41">
        <v>35</v>
      </c>
      <c r="AE41">
        <v>35</v>
      </c>
    </row>
    <row r="42" spans="1:31" x14ac:dyDescent="0.25">
      <c r="A42">
        <v>64.5</v>
      </c>
      <c r="B42">
        <v>45</v>
      </c>
      <c r="C42">
        <v>44</v>
      </c>
      <c r="D42">
        <v>44</v>
      </c>
      <c r="E42">
        <v>44</v>
      </c>
      <c r="F42">
        <v>43</v>
      </c>
      <c r="G42">
        <v>43</v>
      </c>
      <c r="H42">
        <v>43</v>
      </c>
      <c r="I42">
        <v>42</v>
      </c>
      <c r="J42">
        <v>42</v>
      </c>
      <c r="K42">
        <v>42</v>
      </c>
      <c r="L42">
        <v>41</v>
      </c>
      <c r="M42">
        <v>41</v>
      </c>
      <c r="N42">
        <v>41</v>
      </c>
      <c r="O42">
        <v>40</v>
      </c>
      <c r="P42">
        <v>40</v>
      </c>
      <c r="Q42">
        <v>40</v>
      </c>
      <c r="R42">
        <v>39</v>
      </c>
      <c r="S42">
        <v>39</v>
      </c>
      <c r="T42">
        <v>39</v>
      </c>
      <c r="U42">
        <v>38</v>
      </c>
      <c r="V42">
        <v>38</v>
      </c>
      <c r="W42">
        <v>38</v>
      </c>
      <c r="X42">
        <v>37</v>
      </c>
      <c r="Y42">
        <v>37</v>
      </c>
      <c r="Z42">
        <v>37</v>
      </c>
      <c r="AA42">
        <v>36</v>
      </c>
      <c r="AB42">
        <v>36</v>
      </c>
      <c r="AC42">
        <v>36</v>
      </c>
      <c r="AD42">
        <v>36</v>
      </c>
      <c r="AE42">
        <v>35</v>
      </c>
    </row>
    <row r="43" spans="1:31" x14ac:dyDescent="0.25">
      <c r="A43">
        <v>65</v>
      </c>
      <c r="B43">
        <v>45</v>
      </c>
      <c r="C43">
        <v>45</v>
      </c>
      <c r="D43">
        <v>45</v>
      </c>
      <c r="E43">
        <v>44</v>
      </c>
      <c r="F43">
        <v>44</v>
      </c>
      <c r="G43">
        <v>43</v>
      </c>
      <c r="H43">
        <v>43</v>
      </c>
      <c r="I43">
        <v>43</v>
      </c>
      <c r="J43">
        <v>42</v>
      </c>
      <c r="K43">
        <v>42</v>
      </c>
      <c r="L43">
        <v>42</v>
      </c>
      <c r="M43">
        <v>41</v>
      </c>
      <c r="N43">
        <v>41</v>
      </c>
      <c r="O43">
        <v>41</v>
      </c>
      <c r="P43">
        <v>40</v>
      </c>
      <c r="Q43">
        <v>40</v>
      </c>
      <c r="R43">
        <v>40</v>
      </c>
      <c r="S43">
        <v>39</v>
      </c>
      <c r="T43">
        <v>39</v>
      </c>
      <c r="U43">
        <v>39</v>
      </c>
      <c r="V43">
        <v>38</v>
      </c>
      <c r="W43">
        <v>38</v>
      </c>
      <c r="X43">
        <v>38</v>
      </c>
      <c r="Y43">
        <v>38</v>
      </c>
      <c r="Z43">
        <v>37</v>
      </c>
      <c r="AA43">
        <v>37</v>
      </c>
      <c r="AB43">
        <v>37</v>
      </c>
      <c r="AC43">
        <v>36</v>
      </c>
      <c r="AD43">
        <v>36</v>
      </c>
      <c r="AE43">
        <v>36</v>
      </c>
    </row>
    <row r="44" spans="1:31" x14ac:dyDescent="0.25">
      <c r="A44">
        <v>65.5</v>
      </c>
      <c r="B44">
        <v>46</v>
      </c>
      <c r="C44">
        <v>45</v>
      </c>
      <c r="D44">
        <v>45</v>
      </c>
      <c r="E44">
        <v>45</v>
      </c>
      <c r="F44">
        <v>44</v>
      </c>
      <c r="G44">
        <v>44</v>
      </c>
      <c r="H44">
        <v>44</v>
      </c>
      <c r="I44">
        <v>43</v>
      </c>
      <c r="J44">
        <v>43</v>
      </c>
      <c r="K44">
        <v>43</v>
      </c>
      <c r="L44">
        <v>42</v>
      </c>
      <c r="M44">
        <v>42</v>
      </c>
      <c r="N44">
        <v>42</v>
      </c>
      <c r="O44">
        <v>41</v>
      </c>
      <c r="P44">
        <v>41</v>
      </c>
      <c r="Q44">
        <v>41</v>
      </c>
      <c r="R44">
        <v>40</v>
      </c>
      <c r="S44">
        <v>40</v>
      </c>
      <c r="T44">
        <v>40</v>
      </c>
      <c r="U44">
        <v>39</v>
      </c>
      <c r="V44">
        <v>39</v>
      </c>
      <c r="W44">
        <v>39</v>
      </c>
      <c r="X44">
        <v>38</v>
      </c>
      <c r="Y44">
        <v>38</v>
      </c>
      <c r="Z44">
        <v>38</v>
      </c>
      <c r="AA44">
        <v>37</v>
      </c>
      <c r="AB44">
        <v>37</v>
      </c>
      <c r="AC44">
        <v>37</v>
      </c>
      <c r="AD44">
        <v>37</v>
      </c>
      <c r="AE44">
        <v>36</v>
      </c>
    </row>
    <row r="45" spans="1:31" x14ac:dyDescent="0.25">
      <c r="A45">
        <v>66</v>
      </c>
      <c r="B45">
        <v>46</v>
      </c>
      <c r="C45">
        <v>46</v>
      </c>
      <c r="D45">
        <v>46</v>
      </c>
      <c r="E45">
        <v>45</v>
      </c>
      <c r="F45">
        <v>45</v>
      </c>
      <c r="G45">
        <v>45</v>
      </c>
      <c r="H45">
        <v>44</v>
      </c>
      <c r="I45">
        <v>44</v>
      </c>
      <c r="J45">
        <v>43</v>
      </c>
      <c r="K45">
        <v>43</v>
      </c>
      <c r="L45">
        <v>43</v>
      </c>
      <c r="M45">
        <v>42</v>
      </c>
      <c r="N45">
        <v>42</v>
      </c>
      <c r="O45">
        <v>42</v>
      </c>
      <c r="P45">
        <v>41</v>
      </c>
      <c r="Q45">
        <v>41</v>
      </c>
      <c r="R45">
        <v>41</v>
      </c>
      <c r="S45">
        <v>41</v>
      </c>
      <c r="T45">
        <v>40</v>
      </c>
      <c r="U45">
        <v>40</v>
      </c>
      <c r="V45">
        <v>40</v>
      </c>
      <c r="W45">
        <v>39</v>
      </c>
      <c r="X45">
        <v>39</v>
      </c>
      <c r="Y45">
        <v>39</v>
      </c>
      <c r="Z45">
        <v>38</v>
      </c>
      <c r="AA45">
        <v>38</v>
      </c>
      <c r="AB45">
        <v>38</v>
      </c>
      <c r="AC45">
        <v>37</v>
      </c>
      <c r="AD45">
        <v>37</v>
      </c>
      <c r="AE45">
        <v>37</v>
      </c>
    </row>
    <row r="46" spans="1:31" x14ac:dyDescent="0.25">
      <c r="A46">
        <v>66.5</v>
      </c>
      <c r="B46">
        <v>47</v>
      </c>
      <c r="C46">
        <v>46</v>
      </c>
      <c r="D46">
        <v>46</v>
      </c>
      <c r="E46">
        <v>46</v>
      </c>
      <c r="F46">
        <v>45</v>
      </c>
      <c r="G46">
        <v>45</v>
      </c>
      <c r="H46">
        <v>45</v>
      </c>
      <c r="I46">
        <v>44</v>
      </c>
      <c r="J46">
        <v>44</v>
      </c>
      <c r="K46">
        <v>44</v>
      </c>
      <c r="L46">
        <v>43</v>
      </c>
      <c r="M46">
        <v>43</v>
      </c>
      <c r="N46">
        <v>43</v>
      </c>
      <c r="O46">
        <v>42</v>
      </c>
      <c r="P46">
        <v>42</v>
      </c>
      <c r="Q46">
        <v>42</v>
      </c>
      <c r="R46">
        <v>41</v>
      </c>
      <c r="S46">
        <v>41</v>
      </c>
      <c r="T46">
        <v>41</v>
      </c>
      <c r="U46">
        <v>40</v>
      </c>
      <c r="V46">
        <v>40</v>
      </c>
      <c r="W46">
        <v>40</v>
      </c>
      <c r="X46">
        <v>39</v>
      </c>
      <c r="Y46">
        <v>39</v>
      </c>
      <c r="Z46">
        <v>39</v>
      </c>
      <c r="AA46">
        <v>39</v>
      </c>
      <c r="AB46">
        <v>38</v>
      </c>
      <c r="AC46">
        <v>38</v>
      </c>
      <c r="AD46">
        <v>38</v>
      </c>
      <c r="AE46">
        <v>37</v>
      </c>
    </row>
    <row r="47" spans="1:31" x14ac:dyDescent="0.25">
      <c r="A47">
        <v>67</v>
      </c>
      <c r="D47">
        <v>47</v>
      </c>
      <c r="E47">
        <v>46</v>
      </c>
      <c r="F47">
        <v>46</v>
      </c>
      <c r="G47">
        <v>46</v>
      </c>
      <c r="H47">
        <v>45</v>
      </c>
      <c r="I47">
        <v>45</v>
      </c>
      <c r="J47">
        <v>45</v>
      </c>
      <c r="K47">
        <v>44</v>
      </c>
      <c r="L47">
        <v>44</v>
      </c>
      <c r="M47">
        <v>44</v>
      </c>
      <c r="N47">
        <v>43</v>
      </c>
      <c r="O47">
        <v>43</v>
      </c>
      <c r="P47">
        <v>43</v>
      </c>
      <c r="Q47">
        <v>42</v>
      </c>
      <c r="R47">
        <v>42</v>
      </c>
      <c r="S47">
        <v>42</v>
      </c>
      <c r="T47">
        <v>41</v>
      </c>
      <c r="U47">
        <v>41</v>
      </c>
      <c r="V47">
        <v>41</v>
      </c>
      <c r="W47">
        <v>40</v>
      </c>
      <c r="X47">
        <v>40</v>
      </c>
      <c r="Y47">
        <v>40</v>
      </c>
      <c r="Z47">
        <v>39</v>
      </c>
      <c r="AA47">
        <v>39</v>
      </c>
      <c r="AB47">
        <v>39</v>
      </c>
      <c r="AC47">
        <v>39</v>
      </c>
      <c r="AD47">
        <v>38</v>
      </c>
      <c r="AE47">
        <v>38</v>
      </c>
    </row>
    <row r="48" spans="1:31" x14ac:dyDescent="0.25">
      <c r="A48">
        <v>67.5</v>
      </c>
      <c r="E48">
        <v>47</v>
      </c>
      <c r="F48">
        <v>46</v>
      </c>
      <c r="G48">
        <v>46</v>
      </c>
      <c r="H48">
        <v>46</v>
      </c>
      <c r="I48">
        <v>45</v>
      </c>
      <c r="J48">
        <v>45</v>
      </c>
      <c r="K48">
        <v>45</v>
      </c>
      <c r="L48">
        <v>44</v>
      </c>
      <c r="M48">
        <v>44</v>
      </c>
      <c r="N48">
        <v>44</v>
      </c>
      <c r="O48">
        <v>43</v>
      </c>
      <c r="P48">
        <v>43</v>
      </c>
      <c r="Q48">
        <v>43</v>
      </c>
      <c r="R48">
        <v>42</v>
      </c>
      <c r="S48">
        <v>42</v>
      </c>
      <c r="T48">
        <v>42</v>
      </c>
      <c r="U48">
        <v>41</v>
      </c>
      <c r="V48">
        <v>41</v>
      </c>
      <c r="W48">
        <v>41</v>
      </c>
      <c r="X48">
        <v>41</v>
      </c>
      <c r="Y48">
        <v>40</v>
      </c>
      <c r="Z48">
        <v>40</v>
      </c>
      <c r="AA48">
        <v>40</v>
      </c>
      <c r="AB48">
        <v>39</v>
      </c>
      <c r="AC48">
        <v>39</v>
      </c>
      <c r="AD48">
        <v>39</v>
      </c>
      <c r="AE48">
        <v>38</v>
      </c>
    </row>
    <row r="49" spans="1:31" x14ac:dyDescent="0.25">
      <c r="A49">
        <v>68</v>
      </c>
      <c r="F49">
        <v>47</v>
      </c>
      <c r="G49">
        <v>47</v>
      </c>
      <c r="H49">
        <v>46</v>
      </c>
      <c r="I49">
        <v>46</v>
      </c>
      <c r="J49">
        <v>46</v>
      </c>
      <c r="K49">
        <v>45</v>
      </c>
      <c r="L49">
        <v>45</v>
      </c>
      <c r="M49">
        <v>45</v>
      </c>
      <c r="N49">
        <v>44</v>
      </c>
      <c r="O49">
        <v>44</v>
      </c>
      <c r="P49">
        <v>44</v>
      </c>
      <c r="Q49">
        <v>43</v>
      </c>
      <c r="R49">
        <v>43</v>
      </c>
      <c r="S49">
        <v>43</v>
      </c>
      <c r="T49">
        <v>42</v>
      </c>
      <c r="U49">
        <v>42</v>
      </c>
      <c r="V49">
        <v>42</v>
      </c>
      <c r="W49">
        <v>41</v>
      </c>
      <c r="X49">
        <v>41</v>
      </c>
      <c r="Y49">
        <v>41</v>
      </c>
      <c r="Z49">
        <v>40</v>
      </c>
      <c r="AA49">
        <v>40</v>
      </c>
      <c r="AB49">
        <v>40</v>
      </c>
      <c r="AC49">
        <v>40</v>
      </c>
      <c r="AD49">
        <v>39</v>
      </c>
      <c r="AE49">
        <v>39</v>
      </c>
    </row>
    <row r="50" spans="1:31" x14ac:dyDescent="0.25">
      <c r="A50">
        <v>68.5</v>
      </c>
      <c r="H50">
        <v>47</v>
      </c>
      <c r="I50">
        <v>46</v>
      </c>
      <c r="J50">
        <v>46</v>
      </c>
      <c r="K50">
        <v>46</v>
      </c>
      <c r="L50">
        <v>45</v>
      </c>
      <c r="M50">
        <v>45</v>
      </c>
      <c r="N50">
        <v>45</v>
      </c>
      <c r="O50">
        <v>44</v>
      </c>
      <c r="P50">
        <v>44</v>
      </c>
      <c r="Q50">
        <v>44</v>
      </c>
      <c r="R50">
        <v>43</v>
      </c>
      <c r="S50">
        <v>43</v>
      </c>
      <c r="T50">
        <v>43</v>
      </c>
      <c r="U50">
        <v>43</v>
      </c>
      <c r="V50">
        <v>42</v>
      </c>
      <c r="W50">
        <v>42</v>
      </c>
      <c r="X50">
        <v>42</v>
      </c>
      <c r="Y50">
        <v>41</v>
      </c>
      <c r="Z50">
        <v>41</v>
      </c>
      <c r="AA50">
        <v>41</v>
      </c>
      <c r="AB50">
        <v>40</v>
      </c>
      <c r="AC50">
        <v>40</v>
      </c>
      <c r="AD50">
        <v>40</v>
      </c>
      <c r="AE50">
        <v>39</v>
      </c>
    </row>
    <row r="51" spans="1:31" x14ac:dyDescent="0.25">
      <c r="A51">
        <v>69</v>
      </c>
      <c r="I51">
        <v>47</v>
      </c>
      <c r="J51">
        <v>47</v>
      </c>
      <c r="K51">
        <v>46</v>
      </c>
      <c r="L51">
        <v>46</v>
      </c>
      <c r="M51">
        <v>46</v>
      </c>
      <c r="N51">
        <v>45</v>
      </c>
      <c r="O51">
        <v>45</v>
      </c>
      <c r="P51">
        <v>45</v>
      </c>
      <c r="Q51">
        <v>44</v>
      </c>
      <c r="R51">
        <v>44</v>
      </c>
      <c r="S51">
        <v>44</v>
      </c>
      <c r="T51">
        <v>43</v>
      </c>
      <c r="U51">
        <v>43</v>
      </c>
      <c r="V51">
        <v>43</v>
      </c>
      <c r="W51">
        <v>42</v>
      </c>
      <c r="X51">
        <v>42</v>
      </c>
      <c r="Y51">
        <v>42</v>
      </c>
      <c r="Z51">
        <v>41</v>
      </c>
      <c r="AA51">
        <v>41</v>
      </c>
      <c r="AB51">
        <v>41</v>
      </c>
      <c r="AC51">
        <v>41</v>
      </c>
      <c r="AD51">
        <v>40</v>
      </c>
      <c r="AE51">
        <v>40</v>
      </c>
    </row>
    <row r="52" spans="1:31" x14ac:dyDescent="0.25">
      <c r="A52">
        <v>69.5</v>
      </c>
      <c r="K52">
        <v>47</v>
      </c>
      <c r="L52">
        <v>46</v>
      </c>
      <c r="M52">
        <v>46</v>
      </c>
      <c r="N52">
        <v>46</v>
      </c>
      <c r="O52">
        <v>45</v>
      </c>
      <c r="P52">
        <v>45</v>
      </c>
      <c r="Q52">
        <v>45</v>
      </c>
      <c r="R52">
        <v>44</v>
      </c>
      <c r="S52">
        <v>44</v>
      </c>
      <c r="T52">
        <v>44</v>
      </c>
      <c r="U52">
        <v>44</v>
      </c>
      <c r="V52">
        <v>43</v>
      </c>
      <c r="W52">
        <v>43</v>
      </c>
      <c r="X52">
        <v>43</v>
      </c>
      <c r="Y52">
        <v>42</v>
      </c>
      <c r="Z52">
        <v>42</v>
      </c>
      <c r="AA52">
        <v>42</v>
      </c>
      <c r="AB52">
        <v>41</v>
      </c>
      <c r="AC52">
        <v>41</v>
      </c>
      <c r="AD52">
        <v>41</v>
      </c>
      <c r="AE52">
        <v>41</v>
      </c>
    </row>
    <row r="53" spans="1:31" x14ac:dyDescent="0.25">
      <c r="A53">
        <v>70</v>
      </c>
      <c r="L53">
        <v>47</v>
      </c>
      <c r="M53">
        <v>47</v>
      </c>
      <c r="N53">
        <v>46</v>
      </c>
      <c r="O53">
        <v>46</v>
      </c>
      <c r="P53">
        <v>46</v>
      </c>
      <c r="Q53">
        <v>45</v>
      </c>
      <c r="R53">
        <v>45</v>
      </c>
      <c r="S53">
        <v>45</v>
      </c>
      <c r="T53">
        <v>44</v>
      </c>
      <c r="U53">
        <v>44</v>
      </c>
      <c r="V53">
        <v>44</v>
      </c>
      <c r="W53">
        <v>43</v>
      </c>
      <c r="X53">
        <v>43</v>
      </c>
      <c r="Y53">
        <v>43</v>
      </c>
      <c r="Z53">
        <v>43</v>
      </c>
      <c r="AA53">
        <v>42</v>
      </c>
      <c r="AB53">
        <v>42</v>
      </c>
      <c r="AC53">
        <v>42</v>
      </c>
      <c r="AD53">
        <v>41</v>
      </c>
      <c r="AE53">
        <v>41</v>
      </c>
    </row>
    <row r="54" spans="1:31" x14ac:dyDescent="0.25">
      <c r="A54">
        <v>70.5</v>
      </c>
      <c r="N54">
        <v>47</v>
      </c>
      <c r="O54">
        <v>46</v>
      </c>
      <c r="P54">
        <v>46</v>
      </c>
      <c r="Q54">
        <v>46</v>
      </c>
      <c r="R54">
        <v>46</v>
      </c>
      <c r="S54">
        <v>45</v>
      </c>
      <c r="T54">
        <v>45</v>
      </c>
      <c r="U54">
        <v>45</v>
      </c>
      <c r="V54">
        <v>44</v>
      </c>
      <c r="W54">
        <v>44</v>
      </c>
      <c r="X54">
        <v>44</v>
      </c>
      <c r="Y54">
        <v>43</v>
      </c>
      <c r="Z54">
        <v>43</v>
      </c>
      <c r="AA54">
        <v>43</v>
      </c>
      <c r="AB54">
        <v>42</v>
      </c>
      <c r="AC54">
        <v>42</v>
      </c>
      <c r="AD54">
        <v>42</v>
      </c>
      <c r="AE54">
        <v>42</v>
      </c>
    </row>
    <row r="55" spans="1:31" x14ac:dyDescent="0.25">
      <c r="A55">
        <v>71</v>
      </c>
      <c r="O55">
        <v>47</v>
      </c>
      <c r="P55">
        <v>47</v>
      </c>
      <c r="Q55">
        <v>46</v>
      </c>
      <c r="R55">
        <v>46</v>
      </c>
      <c r="S55">
        <v>46</v>
      </c>
      <c r="T55">
        <v>45</v>
      </c>
      <c r="U55">
        <v>45</v>
      </c>
      <c r="V55">
        <v>45</v>
      </c>
      <c r="W55">
        <v>44</v>
      </c>
      <c r="X55">
        <v>44</v>
      </c>
      <c r="Y55">
        <v>44</v>
      </c>
      <c r="Z55">
        <v>44</v>
      </c>
      <c r="AA55">
        <v>43</v>
      </c>
      <c r="AB55">
        <v>43</v>
      </c>
      <c r="AC55">
        <v>43</v>
      </c>
      <c r="AD55">
        <v>42</v>
      </c>
      <c r="AE55">
        <v>42</v>
      </c>
    </row>
    <row r="56" spans="1:31" x14ac:dyDescent="0.25">
      <c r="A56">
        <v>71.5</v>
      </c>
      <c r="Q56">
        <v>47</v>
      </c>
      <c r="R56">
        <v>47</v>
      </c>
      <c r="S56">
        <v>46</v>
      </c>
      <c r="T56">
        <v>46</v>
      </c>
      <c r="U56">
        <v>46</v>
      </c>
      <c r="V56">
        <v>45</v>
      </c>
      <c r="W56">
        <v>45</v>
      </c>
      <c r="X56">
        <v>45</v>
      </c>
      <c r="Y56">
        <v>44</v>
      </c>
      <c r="Z56">
        <v>44</v>
      </c>
      <c r="AA56">
        <v>44</v>
      </c>
      <c r="AB56">
        <v>43</v>
      </c>
      <c r="AC56">
        <v>43</v>
      </c>
      <c r="AD56">
        <v>43</v>
      </c>
      <c r="AE56">
        <v>43</v>
      </c>
    </row>
    <row r="57" spans="1:31" x14ac:dyDescent="0.25">
      <c r="A57">
        <v>72</v>
      </c>
      <c r="R57">
        <v>47</v>
      </c>
      <c r="S57">
        <v>47</v>
      </c>
      <c r="T57">
        <v>46</v>
      </c>
      <c r="U57">
        <v>46</v>
      </c>
      <c r="V57">
        <v>46</v>
      </c>
      <c r="W57">
        <v>45</v>
      </c>
      <c r="X57">
        <v>45</v>
      </c>
      <c r="Y57">
        <v>45</v>
      </c>
      <c r="Z57">
        <v>45</v>
      </c>
      <c r="AA57">
        <v>44</v>
      </c>
      <c r="AB57">
        <v>44</v>
      </c>
      <c r="AC57">
        <v>44</v>
      </c>
      <c r="AD57">
        <v>43</v>
      </c>
      <c r="AE57">
        <v>43</v>
      </c>
    </row>
    <row r="58" spans="1:31" x14ac:dyDescent="0.25">
      <c r="A58">
        <v>72.5</v>
      </c>
      <c r="T58">
        <v>47</v>
      </c>
      <c r="U58">
        <v>47</v>
      </c>
      <c r="V58">
        <v>46</v>
      </c>
      <c r="W58">
        <v>46</v>
      </c>
      <c r="X58">
        <v>46</v>
      </c>
      <c r="Y58">
        <v>45</v>
      </c>
      <c r="Z58">
        <v>45</v>
      </c>
      <c r="AA58">
        <v>45</v>
      </c>
      <c r="AB58">
        <v>44</v>
      </c>
      <c r="AC58">
        <v>44</v>
      </c>
      <c r="AD58">
        <v>44</v>
      </c>
      <c r="AE58">
        <v>44</v>
      </c>
    </row>
    <row r="59" spans="1:31" x14ac:dyDescent="0.25">
      <c r="A59">
        <v>73</v>
      </c>
      <c r="V59">
        <v>47</v>
      </c>
      <c r="W59">
        <v>46</v>
      </c>
      <c r="X59">
        <v>46</v>
      </c>
      <c r="Y59">
        <v>46</v>
      </c>
      <c r="Z59">
        <v>45</v>
      </c>
      <c r="AA59">
        <v>45</v>
      </c>
      <c r="AB59">
        <v>45</v>
      </c>
      <c r="AC59">
        <v>45</v>
      </c>
      <c r="AD59">
        <v>44</v>
      </c>
      <c r="AE59">
        <v>44</v>
      </c>
    </row>
    <row r="60" spans="1:31" x14ac:dyDescent="0.25">
      <c r="A60">
        <v>73.5</v>
      </c>
      <c r="W60">
        <v>47</v>
      </c>
      <c r="X60">
        <v>47</v>
      </c>
      <c r="Y60">
        <v>46</v>
      </c>
      <c r="Z60">
        <v>46</v>
      </c>
      <c r="AA60">
        <v>46</v>
      </c>
      <c r="AB60">
        <v>45</v>
      </c>
      <c r="AC60">
        <v>45</v>
      </c>
      <c r="AD60">
        <v>45</v>
      </c>
      <c r="AE60">
        <v>44</v>
      </c>
    </row>
    <row r="61" spans="1:31" x14ac:dyDescent="0.25">
      <c r="A61">
        <v>74</v>
      </c>
      <c r="Y61">
        <v>47</v>
      </c>
      <c r="Z61">
        <v>46</v>
      </c>
      <c r="AA61">
        <v>46</v>
      </c>
      <c r="AB61">
        <v>46</v>
      </c>
      <c r="AC61">
        <v>46</v>
      </c>
      <c r="AD61">
        <v>45</v>
      </c>
      <c r="AE61">
        <v>45</v>
      </c>
    </row>
    <row r="62" spans="1:31" x14ac:dyDescent="0.25">
      <c r="A62">
        <v>74.5</v>
      </c>
      <c r="Z62">
        <v>47</v>
      </c>
      <c r="AA62">
        <v>47</v>
      </c>
      <c r="AB62">
        <v>46</v>
      </c>
      <c r="AC62">
        <v>46</v>
      </c>
      <c r="AD62">
        <v>46</v>
      </c>
      <c r="AE62">
        <v>45</v>
      </c>
    </row>
    <row r="63" spans="1:31" x14ac:dyDescent="0.25">
      <c r="A63">
        <v>75</v>
      </c>
      <c r="AB63">
        <v>47</v>
      </c>
      <c r="AC63">
        <v>46</v>
      </c>
      <c r="AD63">
        <v>46</v>
      </c>
      <c r="AE63">
        <v>46</v>
      </c>
    </row>
    <row r="64" spans="1:31" x14ac:dyDescent="0.25">
      <c r="A64">
        <v>75.5</v>
      </c>
      <c r="AC64">
        <v>47</v>
      </c>
      <c r="AD64">
        <v>47</v>
      </c>
      <c r="AE64">
        <v>46</v>
      </c>
    </row>
    <row r="65" spans="1:31" x14ac:dyDescent="0.25">
      <c r="A65">
        <v>76</v>
      </c>
      <c r="AE65">
        <v>47</v>
      </c>
    </row>
  </sheetData>
  <mergeCells count="2">
    <mergeCell ref="A1:A2"/>
    <mergeCell ref="B1:T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03B20-F136-4C70-AF28-BAB619009AEF}">
  <sheetPr codeName="Sheet9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B82B7-48E5-4C21-8ABB-7D72F14F44D9}">
  <sheetPr codeName="Sheet10"/>
  <dimension ref="A1:J27"/>
  <sheetViews>
    <sheetView zoomScale="130" zoomScaleNormal="130" workbookViewId="0">
      <selection activeCell="N29" sqref="N29"/>
    </sheetView>
  </sheetViews>
  <sheetFormatPr defaultRowHeight="15" x14ac:dyDescent="0.25"/>
  <sheetData>
    <row r="1" spans="1:10" x14ac:dyDescent="0.25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3"/>
    </row>
    <row r="2" spans="1:10" x14ac:dyDescent="0.25">
      <c r="A2" s="21" t="s">
        <v>1</v>
      </c>
      <c r="B2" s="22"/>
      <c r="C2" s="22"/>
      <c r="D2" s="22"/>
      <c r="E2" s="22"/>
      <c r="F2" s="22"/>
      <c r="G2" s="22"/>
      <c r="H2" s="22"/>
      <c r="I2" s="22"/>
      <c r="J2" s="23"/>
    </row>
    <row r="3" spans="1:10" x14ac:dyDescent="0.25">
      <c r="A3" s="1"/>
      <c r="B3" s="1"/>
      <c r="C3" s="21" t="s">
        <v>2</v>
      </c>
      <c r="D3" s="22"/>
      <c r="E3" s="22"/>
      <c r="F3" s="23"/>
      <c r="G3" s="21" t="s">
        <v>3</v>
      </c>
      <c r="H3" s="22"/>
      <c r="I3" s="22"/>
      <c r="J3" s="23"/>
    </row>
    <row r="4" spans="1:10" ht="60" x14ac:dyDescent="0.25">
      <c r="A4" s="2" t="s">
        <v>4</v>
      </c>
      <c r="B4" s="2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6</v>
      </c>
      <c r="H4" s="3" t="s">
        <v>7</v>
      </c>
      <c r="I4" s="3" t="s">
        <v>8</v>
      </c>
      <c r="J4" s="3" t="s">
        <v>9</v>
      </c>
    </row>
    <row r="5" spans="1:10" x14ac:dyDescent="0.25">
      <c r="A5" s="4">
        <v>58</v>
      </c>
      <c r="B5" s="4">
        <v>91</v>
      </c>
      <c r="C5" s="4" t="s">
        <v>10</v>
      </c>
      <c r="D5" s="4" t="s">
        <v>10</v>
      </c>
      <c r="E5" s="4" t="s">
        <v>10</v>
      </c>
      <c r="F5" s="4" t="s">
        <v>10</v>
      </c>
      <c r="G5" s="4">
        <v>119</v>
      </c>
      <c r="H5" s="4">
        <v>121</v>
      </c>
      <c r="I5" s="4">
        <v>122</v>
      </c>
      <c r="J5" s="4">
        <v>124</v>
      </c>
    </row>
    <row r="6" spans="1:10" x14ac:dyDescent="0.25">
      <c r="A6" s="4">
        <v>59</v>
      </c>
      <c r="B6" s="4">
        <v>94</v>
      </c>
      <c r="C6" s="4" t="s">
        <v>10</v>
      </c>
      <c r="D6" s="4" t="s">
        <v>10</v>
      </c>
      <c r="E6" s="4" t="s">
        <v>10</v>
      </c>
      <c r="F6" s="4" t="s">
        <v>10</v>
      </c>
      <c r="G6" s="4">
        <v>124</v>
      </c>
      <c r="H6" s="4">
        <v>125</v>
      </c>
      <c r="I6" s="4">
        <v>126</v>
      </c>
      <c r="J6" s="4">
        <v>128</v>
      </c>
    </row>
    <row r="7" spans="1:10" x14ac:dyDescent="0.25">
      <c r="A7" s="4">
        <v>60</v>
      </c>
      <c r="B7" s="4">
        <v>97</v>
      </c>
      <c r="C7" s="4">
        <v>132</v>
      </c>
      <c r="D7" s="4">
        <v>136</v>
      </c>
      <c r="E7" s="4">
        <v>139</v>
      </c>
      <c r="F7" s="4">
        <v>141</v>
      </c>
      <c r="G7" s="4">
        <v>128</v>
      </c>
      <c r="H7" s="4">
        <v>129</v>
      </c>
      <c r="I7" s="4">
        <v>131</v>
      </c>
      <c r="J7" s="4">
        <v>133</v>
      </c>
    </row>
    <row r="8" spans="1:10" x14ac:dyDescent="0.25">
      <c r="A8" s="4">
        <v>61</v>
      </c>
      <c r="B8" s="4">
        <v>100</v>
      </c>
      <c r="C8" s="4">
        <v>136</v>
      </c>
      <c r="D8" s="4">
        <v>140</v>
      </c>
      <c r="E8" s="4">
        <v>144</v>
      </c>
      <c r="F8" s="4">
        <v>146</v>
      </c>
      <c r="G8" s="4">
        <v>132</v>
      </c>
      <c r="H8" s="4">
        <v>134</v>
      </c>
      <c r="I8" s="4">
        <v>135</v>
      </c>
      <c r="J8" s="4">
        <v>137</v>
      </c>
    </row>
    <row r="9" spans="1:10" x14ac:dyDescent="0.25">
      <c r="A9" s="4">
        <v>62</v>
      </c>
      <c r="B9" s="4">
        <v>104</v>
      </c>
      <c r="C9" s="4">
        <v>141</v>
      </c>
      <c r="D9" s="4">
        <v>144</v>
      </c>
      <c r="E9" s="4">
        <v>148</v>
      </c>
      <c r="F9" s="4">
        <v>150</v>
      </c>
      <c r="G9" s="4">
        <v>136</v>
      </c>
      <c r="H9" s="4">
        <v>138</v>
      </c>
      <c r="I9" s="4">
        <v>140</v>
      </c>
      <c r="J9" s="4">
        <v>142</v>
      </c>
    </row>
    <row r="10" spans="1:10" x14ac:dyDescent="0.25">
      <c r="A10" s="4">
        <v>63</v>
      </c>
      <c r="B10" s="4">
        <v>107</v>
      </c>
      <c r="C10" s="4">
        <v>145</v>
      </c>
      <c r="D10" s="4">
        <v>149</v>
      </c>
      <c r="E10" s="4">
        <v>153</v>
      </c>
      <c r="F10" s="4">
        <v>155</v>
      </c>
      <c r="G10" s="4">
        <v>141</v>
      </c>
      <c r="H10" s="4">
        <v>143</v>
      </c>
      <c r="I10" s="4">
        <v>144</v>
      </c>
      <c r="J10" s="4">
        <v>146</v>
      </c>
    </row>
    <row r="11" spans="1:10" x14ac:dyDescent="0.25">
      <c r="A11" s="4">
        <v>64</v>
      </c>
      <c r="B11" s="4">
        <v>110</v>
      </c>
      <c r="C11" s="4">
        <v>150</v>
      </c>
      <c r="D11" s="4">
        <v>154</v>
      </c>
      <c r="E11" s="4">
        <v>158</v>
      </c>
      <c r="F11" s="4">
        <v>160</v>
      </c>
      <c r="G11" s="4">
        <v>145</v>
      </c>
      <c r="H11" s="4">
        <v>147</v>
      </c>
      <c r="I11" s="4">
        <v>149</v>
      </c>
      <c r="J11" s="4">
        <v>151</v>
      </c>
    </row>
    <row r="12" spans="1:10" x14ac:dyDescent="0.25">
      <c r="A12" s="4">
        <v>65</v>
      </c>
      <c r="B12" s="4">
        <v>114</v>
      </c>
      <c r="C12" s="4">
        <v>155</v>
      </c>
      <c r="D12" s="4">
        <v>159</v>
      </c>
      <c r="E12" s="4">
        <v>163</v>
      </c>
      <c r="F12" s="4">
        <v>165</v>
      </c>
      <c r="G12" s="4">
        <v>150</v>
      </c>
      <c r="H12" s="4">
        <v>152</v>
      </c>
      <c r="I12" s="4">
        <v>154</v>
      </c>
      <c r="J12" s="4">
        <v>156</v>
      </c>
    </row>
    <row r="13" spans="1:10" x14ac:dyDescent="0.25">
      <c r="A13" s="4">
        <v>66</v>
      </c>
      <c r="B13" s="4">
        <v>117</v>
      </c>
      <c r="C13" s="4">
        <v>160</v>
      </c>
      <c r="D13" s="4">
        <v>163</v>
      </c>
      <c r="E13" s="4">
        <v>168</v>
      </c>
      <c r="F13" s="4">
        <v>170</v>
      </c>
      <c r="G13" s="4">
        <v>155</v>
      </c>
      <c r="H13" s="4">
        <v>156</v>
      </c>
      <c r="I13" s="4">
        <v>158</v>
      </c>
      <c r="J13" s="4">
        <v>161</v>
      </c>
    </row>
    <row r="14" spans="1:10" x14ac:dyDescent="0.25">
      <c r="A14" s="4">
        <v>67</v>
      </c>
      <c r="B14" s="4">
        <v>121</v>
      </c>
      <c r="C14" s="4">
        <v>165</v>
      </c>
      <c r="D14" s="4">
        <v>169</v>
      </c>
      <c r="E14" s="4">
        <v>174</v>
      </c>
      <c r="F14" s="4">
        <v>176</v>
      </c>
      <c r="G14" s="4">
        <v>159</v>
      </c>
      <c r="H14" s="4">
        <v>161</v>
      </c>
      <c r="I14" s="4">
        <v>163</v>
      </c>
      <c r="J14" s="4">
        <v>166</v>
      </c>
    </row>
    <row r="15" spans="1:10" x14ac:dyDescent="0.25">
      <c r="A15" s="4">
        <v>68</v>
      </c>
      <c r="B15" s="4">
        <v>125</v>
      </c>
      <c r="C15" s="4">
        <v>170</v>
      </c>
      <c r="D15" s="4">
        <v>174</v>
      </c>
      <c r="E15" s="4">
        <v>179</v>
      </c>
      <c r="F15" s="4">
        <v>181</v>
      </c>
      <c r="G15" s="4">
        <v>164</v>
      </c>
      <c r="H15" s="4">
        <v>166</v>
      </c>
      <c r="I15" s="4">
        <v>168</v>
      </c>
      <c r="J15" s="4">
        <v>171</v>
      </c>
    </row>
    <row r="16" spans="1:10" x14ac:dyDescent="0.25">
      <c r="A16" s="4">
        <v>69</v>
      </c>
      <c r="B16" s="4">
        <v>128</v>
      </c>
      <c r="C16" s="4">
        <v>175</v>
      </c>
      <c r="D16" s="4">
        <v>179</v>
      </c>
      <c r="E16" s="4">
        <v>184</v>
      </c>
      <c r="F16" s="4">
        <v>186</v>
      </c>
      <c r="G16" s="4">
        <v>169</v>
      </c>
      <c r="H16" s="4">
        <v>171</v>
      </c>
      <c r="I16" s="4">
        <v>173</v>
      </c>
      <c r="J16" s="4">
        <v>176</v>
      </c>
    </row>
    <row r="17" spans="1:10" x14ac:dyDescent="0.25">
      <c r="A17" s="4">
        <v>70</v>
      </c>
      <c r="B17" s="4">
        <v>132</v>
      </c>
      <c r="C17" s="4">
        <v>180</v>
      </c>
      <c r="D17" s="4">
        <v>185</v>
      </c>
      <c r="E17" s="4">
        <v>189</v>
      </c>
      <c r="F17" s="4">
        <v>192</v>
      </c>
      <c r="G17" s="4">
        <v>174</v>
      </c>
      <c r="H17" s="4">
        <v>176</v>
      </c>
      <c r="I17" s="4">
        <v>178</v>
      </c>
      <c r="J17" s="4">
        <v>181</v>
      </c>
    </row>
    <row r="18" spans="1:10" x14ac:dyDescent="0.25">
      <c r="A18" s="4">
        <v>71</v>
      </c>
      <c r="B18" s="4">
        <v>136</v>
      </c>
      <c r="C18" s="4">
        <v>185</v>
      </c>
      <c r="D18" s="4">
        <v>189</v>
      </c>
      <c r="E18" s="4">
        <v>194</v>
      </c>
      <c r="F18" s="4">
        <v>197</v>
      </c>
      <c r="G18" s="4">
        <v>179</v>
      </c>
      <c r="H18" s="4">
        <v>181</v>
      </c>
      <c r="I18" s="4">
        <v>183</v>
      </c>
      <c r="J18" s="4">
        <v>186</v>
      </c>
    </row>
    <row r="19" spans="1:10" x14ac:dyDescent="0.25">
      <c r="A19" s="4">
        <v>72</v>
      </c>
      <c r="B19" s="4">
        <v>140</v>
      </c>
      <c r="C19" s="4">
        <v>190</v>
      </c>
      <c r="D19" s="4">
        <v>195</v>
      </c>
      <c r="E19" s="4">
        <v>200</v>
      </c>
      <c r="F19" s="4">
        <v>203</v>
      </c>
      <c r="G19" s="4">
        <v>184</v>
      </c>
      <c r="H19" s="4">
        <v>186</v>
      </c>
      <c r="I19" s="4">
        <v>188</v>
      </c>
      <c r="J19" s="4">
        <v>191</v>
      </c>
    </row>
    <row r="20" spans="1:10" x14ac:dyDescent="0.25">
      <c r="A20" s="4">
        <v>73</v>
      </c>
      <c r="B20" s="4">
        <v>144</v>
      </c>
      <c r="C20" s="4">
        <v>195</v>
      </c>
      <c r="D20" s="4">
        <v>200</v>
      </c>
      <c r="E20" s="4">
        <v>205</v>
      </c>
      <c r="F20" s="4">
        <v>208</v>
      </c>
      <c r="G20" s="4">
        <v>189</v>
      </c>
      <c r="H20" s="4">
        <v>191</v>
      </c>
      <c r="I20" s="4">
        <v>194</v>
      </c>
      <c r="J20" s="4">
        <v>197</v>
      </c>
    </row>
    <row r="21" spans="1:10" x14ac:dyDescent="0.25">
      <c r="A21" s="4">
        <v>74</v>
      </c>
      <c r="B21" s="4">
        <v>148</v>
      </c>
      <c r="C21" s="4">
        <v>201</v>
      </c>
      <c r="D21" s="4">
        <v>206</v>
      </c>
      <c r="E21" s="4">
        <v>211</v>
      </c>
      <c r="F21" s="4">
        <v>214</v>
      </c>
      <c r="G21" s="4">
        <v>194</v>
      </c>
      <c r="H21" s="4">
        <v>197</v>
      </c>
      <c r="I21" s="4">
        <v>199</v>
      </c>
      <c r="J21" s="4">
        <v>202</v>
      </c>
    </row>
    <row r="22" spans="1:10" x14ac:dyDescent="0.25">
      <c r="A22" s="4">
        <v>75</v>
      </c>
      <c r="B22" s="4">
        <v>152</v>
      </c>
      <c r="C22" s="4">
        <v>206</v>
      </c>
      <c r="D22" s="4">
        <v>212</v>
      </c>
      <c r="E22" s="4">
        <v>217</v>
      </c>
      <c r="F22" s="4">
        <v>220</v>
      </c>
      <c r="G22" s="4">
        <v>200</v>
      </c>
      <c r="H22" s="4">
        <v>202</v>
      </c>
      <c r="I22" s="4">
        <v>204</v>
      </c>
      <c r="J22" s="4">
        <v>208</v>
      </c>
    </row>
    <row r="23" spans="1:10" x14ac:dyDescent="0.25">
      <c r="A23" s="4">
        <v>76</v>
      </c>
      <c r="B23" s="4">
        <v>156</v>
      </c>
      <c r="C23" s="4">
        <v>212</v>
      </c>
      <c r="D23" s="4">
        <v>217</v>
      </c>
      <c r="E23" s="4">
        <v>223</v>
      </c>
      <c r="F23" s="4">
        <v>226</v>
      </c>
      <c r="G23" s="4">
        <v>205</v>
      </c>
      <c r="H23" s="4">
        <v>207</v>
      </c>
      <c r="I23" s="4">
        <v>210</v>
      </c>
      <c r="J23" s="4">
        <v>213</v>
      </c>
    </row>
    <row r="24" spans="1:10" x14ac:dyDescent="0.25">
      <c r="A24" s="4">
        <v>77</v>
      </c>
      <c r="B24" s="4">
        <v>160</v>
      </c>
      <c r="C24" s="4">
        <v>218</v>
      </c>
      <c r="D24" s="4">
        <v>223</v>
      </c>
      <c r="E24" s="4">
        <v>229</v>
      </c>
      <c r="F24" s="4">
        <v>232</v>
      </c>
      <c r="G24" s="4">
        <v>210</v>
      </c>
      <c r="H24" s="4">
        <v>213</v>
      </c>
      <c r="I24" s="4">
        <v>215</v>
      </c>
      <c r="J24" s="4">
        <v>219</v>
      </c>
    </row>
    <row r="25" spans="1:10" x14ac:dyDescent="0.25">
      <c r="A25" s="4">
        <v>78</v>
      </c>
      <c r="B25" s="4">
        <v>164</v>
      </c>
      <c r="C25" s="4">
        <v>223</v>
      </c>
      <c r="D25" s="4">
        <v>229</v>
      </c>
      <c r="E25" s="4">
        <v>235</v>
      </c>
      <c r="F25" s="4">
        <v>238</v>
      </c>
      <c r="G25" s="4">
        <v>216</v>
      </c>
      <c r="H25" s="4">
        <v>218</v>
      </c>
      <c r="I25" s="4">
        <v>221</v>
      </c>
      <c r="J25" s="4">
        <v>225</v>
      </c>
    </row>
    <row r="26" spans="1:10" x14ac:dyDescent="0.25">
      <c r="A26" s="4">
        <v>79</v>
      </c>
      <c r="B26" s="4">
        <v>168</v>
      </c>
      <c r="C26" s="4">
        <v>229</v>
      </c>
      <c r="D26" s="4">
        <v>235</v>
      </c>
      <c r="E26" s="4">
        <v>241</v>
      </c>
      <c r="F26" s="4">
        <v>244</v>
      </c>
      <c r="G26" s="4">
        <v>221</v>
      </c>
      <c r="H26" s="4">
        <v>224</v>
      </c>
      <c r="I26" s="4">
        <v>227</v>
      </c>
      <c r="J26" s="4">
        <v>230</v>
      </c>
    </row>
    <row r="27" spans="1:10" x14ac:dyDescent="0.25">
      <c r="A27" s="4">
        <v>80</v>
      </c>
      <c r="B27" s="4">
        <v>173</v>
      </c>
      <c r="C27" s="4">
        <v>234</v>
      </c>
      <c r="D27" s="4">
        <v>240</v>
      </c>
      <c r="E27" s="4">
        <v>247</v>
      </c>
      <c r="F27" s="4">
        <v>250</v>
      </c>
      <c r="G27" s="4">
        <v>227</v>
      </c>
      <c r="H27" s="4">
        <v>230</v>
      </c>
      <c r="I27" s="4">
        <v>233</v>
      </c>
      <c r="J27" s="4">
        <v>236</v>
      </c>
    </row>
  </sheetData>
  <mergeCells count="4">
    <mergeCell ref="C3:F3"/>
    <mergeCell ref="G3:J3"/>
    <mergeCell ref="A2:J2"/>
    <mergeCell ref="A1:J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Admin</vt:lpstr>
      <vt:lpstr>Table B-1 (2)</vt:lpstr>
      <vt:lpstr>Table B-1</vt:lpstr>
      <vt:lpstr>Table B-2</vt:lpstr>
      <vt:lpstr>Figure B-1 Male</vt:lpstr>
      <vt:lpstr>Figure B-2 Female</vt:lpstr>
      <vt:lpstr>Figure B-1 Male (OLD)</vt:lpstr>
      <vt:lpstr>Figure B-2 Female (OLD)</vt:lpstr>
      <vt:lpstr>Sheet2</vt:lpstr>
      <vt:lpstr>Table B-1 (old)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Bingham, Norman D SSG USARMY NG WAARNG (USA)</dc:creator>
  <cp:lastModifiedBy>Norman Bingham</cp:lastModifiedBy>
  <dcterms:created xsi:type="dcterms:W3CDTF">2024-12-07T17:54:15Z</dcterms:created>
  <dcterms:modified xsi:type="dcterms:W3CDTF">2025-11-10T00:55:38Z</dcterms:modified>
</cp:coreProperties>
</file>